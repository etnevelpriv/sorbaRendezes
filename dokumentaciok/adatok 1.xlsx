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Suli\Projektmunka\sorbaRendezes\dokumentaciok\"/>
    </mc:Choice>
  </mc:AlternateContent>
  <xr:revisionPtr revIDLastSave="0" documentId="13_ncr:1_{D401598E-F97B-495B-B96F-0C279F95B618}" xr6:coauthVersionLast="47" xr6:coauthVersionMax="47" xr10:uidLastSave="{00000000-0000-0000-0000-000000000000}"/>
  <bookViews>
    <workbookView xWindow="-108" yWindow="-108" windowWidth="23256" windowHeight="13896" activeTab="1" xr2:uid="{2BF08F55-0920-46C7-8FB4-3D2C5D80233D}"/>
  </bookViews>
  <sheets>
    <sheet name="Macro1" sheetId="2" r:id="rId1"/>
    <sheet name="Munk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7" i="1" l="1"/>
  <c r="AG97" i="1"/>
  <c r="AG92" i="1"/>
  <c r="AG87" i="1"/>
  <c r="AG82" i="1"/>
  <c r="AG77" i="1"/>
  <c r="AG72" i="1"/>
  <c r="AG67" i="1"/>
  <c r="AG62" i="1"/>
  <c r="AG57" i="1"/>
  <c r="AG52" i="1"/>
  <c r="AG47" i="1"/>
  <c r="AG42" i="1"/>
  <c r="AG37" i="1"/>
  <c r="AG32" i="1"/>
  <c r="AG27" i="1"/>
  <c r="AG22" i="1"/>
  <c r="AG12" i="1"/>
  <c r="AG7" i="1"/>
  <c r="AG2" i="1"/>
  <c r="U97" i="1"/>
  <c r="U92" i="1"/>
  <c r="U87" i="1"/>
  <c r="U82" i="1"/>
  <c r="I97" i="1"/>
  <c r="I92" i="1"/>
  <c r="I87" i="1"/>
  <c r="I82" i="1"/>
  <c r="U2" i="1"/>
  <c r="U77" i="1"/>
  <c r="U72" i="1"/>
  <c r="U67" i="1"/>
  <c r="U62" i="1"/>
  <c r="U57" i="1"/>
  <c r="U52" i="1"/>
  <c r="U47" i="1"/>
  <c r="U42" i="1"/>
  <c r="U37" i="1"/>
  <c r="U32" i="1"/>
  <c r="U27" i="1"/>
  <c r="U22" i="1"/>
  <c r="U17" i="1"/>
  <c r="U12" i="1"/>
  <c r="U7" i="1"/>
  <c r="I77" i="1"/>
  <c r="I72" i="1"/>
  <c r="I67" i="1"/>
  <c r="I62" i="1"/>
  <c r="I12" i="1"/>
  <c r="I17" i="1"/>
  <c r="I22" i="1"/>
  <c r="I27" i="1"/>
  <c r="I32" i="1"/>
  <c r="I37" i="1"/>
  <c r="I42" i="1"/>
  <c r="I47" i="1"/>
  <c r="I52" i="1"/>
  <c r="I57" i="1"/>
  <c r="I7" i="1"/>
  <c r="I2" i="1"/>
</calcChain>
</file>

<file path=xl/sharedStrings.xml><?xml version="1.0" encoding="utf-8"?>
<sst xmlns="http://schemas.openxmlformats.org/spreadsheetml/2006/main" count="616" uniqueCount="15">
  <si>
    <t>Adatok száma</t>
  </si>
  <si>
    <t>Nyelv</t>
  </si>
  <si>
    <t>Módszer</t>
  </si>
  <si>
    <t>Átlag idő (ms)</t>
  </si>
  <si>
    <t>Javascript</t>
  </si>
  <si>
    <t>Egyszerű cserés rendezés</t>
  </si>
  <si>
    <t>Buborékos rendezés</t>
  </si>
  <si>
    <t>Gyors rendezés</t>
  </si>
  <si>
    <t>Beszúrásos rendezés</t>
  </si>
  <si>
    <t>C#</t>
  </si>
  <si>
    <t>Idő (ms)</t>
  </si>
  <si>
    <t>Fordított kiválasztásos rendezés</t>
  </si>
  <si>
    <t>Nyelv Tömb</t>
  </si>
  <si>
    <t>Nyelv Lista</t>
  </si>
  <si>
    <t>6,,1368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</si>
</sst>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i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F9F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thick">
        <color rgb="FFFF0000"/>
      </bottom>
      <diagonal/>
    </border>
    <border>
      <left/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n">
        <color indexed="64"/>
      </bottom>
      <diagonal/>
    </border>
    <border>
      <left/>
      <right style="medium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4" borderId="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0B0F0"/>
      <color rgb="FF39D401"/>
      <color rgb="FF181818"/>
      <color rgb="FF006FAB"/>
      <color rgb="FFEBEBEB"/>
      <color rgb="FFF8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10000-es adathalmaz Javascriptben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4706"/>
                </a:srgbClr>
              </a:glow>
            </a:effectLst>
          </c:spPr>
          <c:invertIfNegative val="0"/>
          <c:val>
            <c:numRef>
              <c:f>Munka1!$I$17:$J$17</c:f>
              <c:numCache>
                <c:formatCode>General</c:formatCode>
                <c:ptCount val="2"/>
                <c:pt idx="0">
                  <c:v>86.940000006560012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8-4859-8208-9347E6D9833F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Munka1!$I$37:$J$37</c:f>
              <c:numCache>
                <c:formatCode>General</c:formatCode>
                <c:ptCount val="2"/>
                <c:pt idx="0">
                  <c:v>61.280000001179999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B8-4859-8208-9347E6D9833F}"/>
            </c:ext>
          </c:extLst>
        </c:ser>
        <c:ser>
          <c:idx val="10"/>
          <c:order val="10"/>
          <c:spPr>
            <a:noFill/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rgbClr val="FF0000">
                  <a:alpha val="25000"/>
                </a:srgbClr>
              </a:glow>
            </a:effectLst>
          </c:spPr>
          <c:invertIfNegative val="0"/>
          <c:val>
            <c:numRef>
              <c:f>Munka1!$I$57:$J$57</c:f>
              <c:numCache>
                <c:formatCode>General</c:formatCode>
                <c:ptCount val="2"/>
                <c:pt idx="0">
                  <c:v>0.24000000057999998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B8-4859-8208-9347E6D9833F}"/>
            </c:ext>
          </c:extLst>
        </c:ser>
        <c:ser>
          <c:idx val="15"/>
          <c:order val="15"/>
          <c:spPr>
            <a:noFill/>
            <a:ln w="9525" cap="flat" cmpd="sng" algn="ctr">
              <a:solidFill>
                <a:srgbClr val="FFC000"/>
              </a:solidFill>
              <a:miter lim="800000"/>
            </a:ln>
            <a:effectLst>
              <a:glow rad="63500">
                <a:srgbClr val="FFC000">
                  <a:alpha val="25000"/>
                </a:srgbClr>
              </a:glow>
            </a:effectLst>
          </c:spPr>
          <c:invertIfNegative val="0"/>
          <c:val>
            <c:numRef>
              <c:f>Munka1!$I$77:$J$77</c:f>
              <c:numCache>
                <c:formatCode>General</c:formatCode>
                <c:ptCount val="2"/>
                <c:pt idx="0">
                  <c:v>10.800000005979999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B8-4859-8208-9347E6D9833F}"/>
            </c:ext>
          </c:extLst>
        </c:ser>
        <c:ser>
          <c:idx val="20"/>
          <c:order val="20"/>
          <c:spPr>
            <a:noFill/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lumOff val="40000"/>
                  <a:alpha val="25000"/>
                </a:schemeClr>
              </a:glow>
            </a:effectLst>
          </c:spPr>
          <c:invertIfNegative val="0"/>
          <c:val>
            <c:numRef>
              <c:f>Munka1!$I$97:$J$97</c:f>
              <c:numCache>
                <c:formatCode>General</c:formatCode>
                <c:ptCount val="2"/>
                <c:pt idx="0">
                  <c:v>91.140000000579988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B8-4859-8208-9347E6D9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74832719"/>
        <c:axId val="16748341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Munka1!$I$18:$J$18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CB8-4859-8208-9347E6D9833F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Munka1!$I$19:$J$19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CB8-4859-8208-9347E6D9833F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Munka1!$I$20:$J$20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CB8-4859-8208-9347E6D9833F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noFill/>
                  <a:ln w="9525" cap="flat" cmpd="sng" algn="ctr">
                    <a:solidFill>
                      <a:schemeClr val="accent5"/>
                    </a:solidFill>
                    <a:miter lim="800000"/>
                  </a:ln>
                  <a:effectLst>
                    <a:glow rad="63500">
                      <a:schemeClr val="accent5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Munka1!$I$21:$J$21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CB8-4859-8208-9347E6D9833F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Munka1!$I$38:$J$38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CB8-4859-8208-9347E6D9833F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noFill/>
                  <a:ln w="9525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Munka1!$I$39:$J$39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CB8-4859-8208-9347E6D9833F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noFill/>
                  <a:ln w="9525" cap="flat" cmpd="sng" algn="ctr">
                    <a:solidFill>
                      <a:schemeClr val="accent3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Munka1!$I$40:$J$40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CB8-4859-8208-9347E6D9833F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noFill/>
                  <a:ln w="9525" cap="flat" cmpd="sng" algn="ctr">
                    <a:solidFill>
                      <a:schemeClr val="accent4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Munka1!$I$41:$J$41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CB8-4859-8208-9347E6D9833F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noFill/>
                  <a:ln w="9525" cap="flat" cmpd="sng" algn="ctr">
                    <a:solidFill>
                      <a:schemeClr val="accent6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Munka1!$I$58:$J$58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CB8-4859-8208-9347E6D9833F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Munka1!$I$59:$J$59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CB8-4859-8208-9347E6D9833F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Munka1!$I$60:$J$60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CB8-4859-8208-9347E6D9833F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noFill/>
                  <a:ln w="9525" cap="flat" cmpd="sng" algn="ctr">
                    <a:solidFill>
                      <a:schemeClr val="accent3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Munka1!$I$61:$J$61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CB8-4859-8208-9347E6D9833F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Munka1!$I$78:$J$78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CB8-4859-8208-9347E6D9833F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Munka1!$I$79:$J$79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CB8-4859-8208-9347E6D9833F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Munka1!$I$80:$J$80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CB8-4859-8208-9347E6D9833F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Munka1!$I$81:$J$81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1CB8-4859-8208-9347E6D9833F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noFill/>
                  <a:ln w="9525" cap="flat" cmpd="sng" algn="ctr">
                    <a:solidFill>
                      <a:schemeClr val="accent4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Munka1!$I$98:$J$98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1CB8-4859-8208-9347E6D9833F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Munka1!$I$99:$J$99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1CB8-4859-8208-9347E6D9833F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Munka1!$I$100:$J$100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1CB8-4859-8208-9347E6D9833F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  <a:lumOff val="4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lumOff val="4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Munka1!$I$101:$J$101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1CB8-4859-8208-9347E6D9833F}"/>
                  </c:ext>
                </c:extLst>
              </c15:ser>
            </c15:filteredBarSeries>
          </c:ext>
        </c:extLst>
      </c:barChart>
      <c:catAx>
        <c:axId val="16748327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4834159"/>
        <c:crosses val="autoZero"/>
        <c:auto val="1"/>
        <c:lblAlgn val="ctr"/>
        <c:lblOffset val="100"/>
        <c:noMultiLvlLbl val="0"/>
      </c:catAx>
      <c:valAx>
        <c:axId val="1674834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483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81818"/>
    </a:solidFill>
    <a:ln w="9525" cap="flat" cmpd="sng" algn="ctr">
      <a:solidFill>
        <a:srgbClr val="EBEBEB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10000-es adathalmaz C#-ban tömb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4706"/>
                </a:srgbClr>
              </a:glow>
            </a:effectLst>
          </c:spPr>
          <c:invertIfNegative val="0"/>
          <c:val>
            <c:numRef>
              <c:f>Munka1!$U$17:$V$17</c:f>
              <c:numCache>
                <c:formatCode>General</c:formatCode>
                <c:ptCount val="2"/>
                <c:pt idx="0">
                  <c:v>172.90840000000003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3-438E-AB3A-88AE9A6163B1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Munka1!$U$37:$V$37</c:f>
              <c:numCache>
                <c:formatCode>General</c:formatCode>
                <c:ptCount val="2"/>
                <c:pt idx="0">
                  <c:v>159.46881999999999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73-438E-AB3A-88AE9A6163B1}"/>
            </c:ext>
          </c:extLst>
        </c:ser>
        <c:ser>
          <c:idx val="10"/>
          <c:order val="10"/>
          <c:spPr>
            <a:solidFill>
              <a:srgbClr val="181818"/>
            </a:solidFill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rgbClr val="FF0000">
                  <a:alpha val="25000"/>
                </a:srgbClr>
              </a:glow>
            </a:effectLst>
          </c:spPr>
          <c:invertIfNegative val="0"/>
          <c:val>
            <c:numRef>
              <c:f>Munka1!$U$57:$V$57</c:f>
              <c:numCache>
                <c:formatCode>General</c:formatCode>
                <c:ptCount val="2"/>
                <c:pt idx="0">
                  <c:v>0.85595999999999994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73-438E-AB3A-88AE9A6163B1}"/>
            </c:ext>
          </c:extLst>
        </c:ser>
        <c:ser>
          <c:idx val="15"/>
          <c:order val="15"/>
          <c:spPr>
            <a:noFill/>
            <a:ln w="9525" cap="flat" cmpd="sng" algn="ctr">
              <a:solidFill>
                <a:srgbClr val="FFC000"/>
              </a:solidFill>
              <a:miter lim="800000"/>
            </a:ln>
            <a:effectLst>
              <a:glow rad="63500">
                <a:srgbClr val="FFC000">
                  <a:alpha val="25000"/>
                </a:srgbClr>
              </a:glow>
            </a:effectLst>
          </c:spPr>
          <c:invertIfNegative val="0"/>
          <c:val>
            <c:numRef>
              <c:f>Munka1!$U$77:$V$77</c:f>
              <c:numCache>
                <c:formatCode>General</c:formatCode>
                <c:ptCount val="2"/>
                <c:pt idx="0">
                  <c:v>37.016820000000003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73-438E-AB3A-88AE9A6163B1}"/>
            </c:ext>
          </c:extLst>
        </c:ser>
        <c:ser>
          <c:idx val="20"/>
          <c:order val="20"/>
          <c:spPr>
            <a:noFill/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lumOff val="40000"/>
                  <a:alpha val="25000"/>
                </a:schemeClr>
              </a:glow>
            </a:effectLst>
          </c:spPr>
          <c:invertIfNegative val="0"/>
          <c:val>
            <c:numRef>
              <c:f>Munka1!$U$97:$V$97</c:f>
              <c:numCache>
                <c:formatCode>General</c:formatCode>
                <c:ptCount val="2"/>
                <c:pt idx="0">
                  <c:v>239.94793999999996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E73-438E-AB3A-88AE9A616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79387871"/>
        <c:axId val="16793883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Munka1!$U$18:$V$18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73-438E-AB3A-88AE9A6163B1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Munka1!$U$19:$V$19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73-438E-AB3A-88AE9A6163B1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Munka1!$U$20:$V$20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73-438E-AB3A-88AE9A6163B1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noFill/>
                  <a:ln w="9525" cap="flat" cmpd="sng" algn="ctr">
                    <a:solidFill>
                      <a:schemeClr val="accent5"/>
                    </a:solidFill>
                    <a:miter lim="800000"/>
                  </a:ln>
                  <a:effectLst>
                    <a:glow rad="63500">
                      <a:schemeClr val="accent5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Munka1!$U$21:$V$21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73-438E-AB3A-88AE9A6163B1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Munka1!$U$38:$V$38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73-438E-AB3A-88AE9A6163B1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noFill/>
                  <a:ln w="9525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Munka1!$U$39:$V$39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E73-438E-AB3A-88AE9A6163B1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noFill/>
                  <a:ln w="9525" cap="flat" cmpd="sng" algn="ctr">
                    <a:solidFill>
                      <a:schemeClr val="accent3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Munka1!$U$40:$V$40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E73-438E-AB3A-88AE9A6163B1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noFill/>
                  <a:ln w="9525" cap="flat" cmpd="sng" algn="ctr">
                    <a:solidFill>
                      <a:schemeClr val="accent4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Munka1!$U$41:$V$41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E73-438E-AB3A-88AE9A6163B1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noFill/>
                  <a:ln w="9525" cap="flat" cmpd="sng" algn="ctr">
                    <a:solidFill>
                      <a:schemeClr val="accent6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Munka1!$U$58:$V$58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E73-438E-AB3A-88AE9A6163B1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Munka1!$U$59:$V$59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E73-438E-AB3A-88AE9A6163B1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Munka1!$U$60:$V$60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E73-438E-AB3A-88AE9A6163B1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noFill/>
                  <a:ln w="9525" cap="flat" cmpd="sng" algn="ctr">
                    <a:solidFill>
                      <a:schemeClr val="accent3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Munka1!$U$61:$V$61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E73-438E-AB3A-88AE9A6163B1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Munka1!$U$78:$V$78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E73-438E-AB3A-88AE9A6163B1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Munka1!$U$79:$V$79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E73-438E-AB3A-88AE9A6163B1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Munka1!$U$80:$V$80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E73-438E-AB3A-88AE9A6163B1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Munka1!$U$81:$V$81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E73-438E-AB3A-88AE9A6163B1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noFill/>
                  <a:ln w="9525" cap="flat" cmpd="sng" algn="ctr">
                    <a:solidFill>
                      <a:schemeClr val="accent4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Munka1!$U$98:$V$98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E73-438E-AB3A-88AE9A6163B1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Munka1!$U$99:$V$99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E73-438E-AB3A-88AE9A6163B1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Munka1!$U$100:$V$100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E73-438E-AB3A-88AE9A6163B1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  <a:lumOff val="4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lumOff val="4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Munka1!$U$101:$V$101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E73-438E-AB3A-88AE9A6163B1}"/>
                  </c:ext>
                </c:extLst>
              </c15:ser>
            </c15:filteredBarSeries>
          </c:ext>
        </c:extLst>
      </c:barChart>
      <c:catAx>
        <c:axId val="16793878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9388351"/>
        <c:crosses val="autoZero"/>
        <c:auto val="1"/>
        <c:lblAlgn val="ctr"/>
        <c:lblOffset val="100"/>
        <c:noMultiLvlLbl val="0"/>
      </c:catAx>
      <c:valAx>
        <c:axId val="1679388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938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81818"/>
    </a:solidFill>
    <a:ln w="9525" cap="flat" cmpd="sng" algn="ctr">
      <a:solidFill>
        <a:srgbClr val="EBEBEB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Egyszerű cserés Js vs C#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5000"/>
                </a:srgbClr>
              </a:glow>
            </a:effectLst>
          </c:spPr>
          <c:invertIfNegative val="0"/>
          <c:dLbls>
            <c:delete val="1"/>
          </c:dLbls>
          <c:val>
            <c:numRef>
              <c:f>Munka1!$I$17:$I$21</c:f>
              <c:numCache>
                <c:formatCode>General</c:formatCode>
                <c:ptCount val="5"/>
                <c:pt idx="0">
                  <c:v>86.940000006560012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D-4513-ABC9-4089008BA5D5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Munka1!$J$17:$J$21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B49D-4513-ABC9-4089008BA5D5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val>
            <c:numRef>
              <c:f>Munka1!$U$17:$U$21</c:f>
              <c:numCache>
                <c:formatCode>General</c:formatCode>
                <c:ptCount val="5"/>
                <c:pt idx="0">
                  <c:v>172.90840000000003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9D-4513-ABC9-4089008BA5D5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Munka1!$V$17:$V$21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B49D-4513-ABC9-4089008BA5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85064703"/>
        <c:axId val="1885067103"/>
      </c:barChart>
      <c:catAx>
        <c:axId val="1885064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85067103"/>
        <c:crosses val="autoZero"/>
        <c:auto val="1"/>
        <c:lblAlgn val="ctr"/>
        <c:lblOffset val="100"/>
        <c:noMultiLvlLbl val="0"/>
      </c:catAx>
      <c:valAx>
        <c:axId val="1885067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88506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18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Gyors cserés Js vs C#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5000"/>
                </a:srgbClr>
              </a:glow>
            </a:effectLst>
          </c:spPr>
          <c:invertIfNegative val="0"/>
          <c:dLbls>
            <c:delete val="1"/>
          </c:dLbls>
          <c:val>
            <c:numRef>
              <c:f>Munka1!$I$57:$I$61</c:f>
              <c:numCache>
                <c:formatCode>General</c:formatCode>
                <c:ptCount val="5"/>
                <c:pt idx="0">
                  <c:v>0.24000000057999998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6-4E5E-B451-8F423E17D7EA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Munka1!$J$57:$J$61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0496-4E5E-B451-8F423E17D7EA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rgbClr val="00B050"/>
              </a:solidFill>
              <a:miter lim="800000"/>
            </a:ln>
            <a:effectLst>
              <a:glow rad="63500">
                <a:srgbClr val="00B050">
                  <a:alpha val="25000"/>
                </a:srgbClr>
              </a:glow>
            </a:effectLst>
          </c:spPr>
          <c:invertIfNegative val="0"/>
          <c:dLbls>
            <c:delete val="1"/>
          </c:dLbls>
          <c:val>
            <c:numRef>
              <c:f>Munka1!$U$57:$U$61</c:f>
              <c:numCache>
                <c:formatCode>General</c:formatCode>
                <c:ptCount val="5"/>
                <c:pt idx="0">
                  <c:v>0.85595999999999994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96-4E5E-B451-8F423E17D7EA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Munka1!$V$57:$V$61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0496-4E5E-B451-8F423E17D7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72122543"/>
        <c:axId val="1672121583"/>
      </c:barChart>
      <c:catAx>
        <c:axId val="1672122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2121583"/>
        <c:crosses val="autoZero"/>
        <c:auto val="1"/>
        <c:lblAlgn val="ctr"/>
        <c:lblOffset val="100"/>
        <c:noMultiLvlLbl val="0"/>
      </c:catAx>
      <c:valAx>
        <c:axId val="1672121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72122543"/>
        <c:crosses val="autoZero"/>
        <c:crossBetween val="between"/>
      </c:valAx>
      <c:spPr>
        <a:solidFill>
          <a:srgbClr val="181818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18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10000-es adathalmaz C#-ban lista</a:t>
            </a:r>
          </a:p>
          <a:p>
            <a:pPr>
              <a:defRPr/>
            </a:pP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7197493489544744E-2"/>
          <c:y val="0.12644913014935816"/>
          <c:w val="0.90586702550723475"/>
          <c:h val="0.78966995009368701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4706"/>
                </a:srgbClr>
              </a:glow>
            </a:effectLst>
          </c:spPr>
          <c:invertIfNegative val="0"/>
          <c:val>
            <c:numRef>
              <c:f>Munka1!$AG$17:$AH$17</c:f>
              <c:numCache>
                <c:formatCode>General</c:formatCode>
                <c:ptCount val="2"/>
                <c:pt idx="0">
                  <c:v>934.20799999999997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A-4962-81D7-081CC275FE38}"/>
            </c:ext>
          </c:extLst>
        </c:ser>
        <c:ser>
          <c:idx val="5"/>
          <c:order val="5"/>
          <c:spPr>
            <a:noFill/>
            <a:ln w="9525" cap="flat" cmpd="sng" algn="ctr">
              <a:solidFill>
                <a:srgbClr val="39D401"/>
              </a:solidFill>
              <a:miter lim="800000"/>
            </a:ln>
            <a:effectLst>
              <a:glow rad="63500">
                <a:srgbClr val="39D401">
                  <a:alpha val="24706"/>
                </a:srgbClr>
              </a:glow>
            </a:effectLst>
          </c:spPr>
          <c:invertIfNegative val="0"/>
          <c:val>
            <c:numRef>
              <c:f>Munka1!$AG$37:$AH$37</c:f>
              <c:numCache>
                <c:formatCode>General</c:formatCode>
                <c:ptCount val="2"/>
                <c:pt idx="0">
                  <c:v>725.36712000000011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DDA-4962-81D7-081CC275FE38}"/>
            </c:ext>
          </c:extLst>
        </c:ser>
        <c:ser>
          <c:idx val="10"/>
          <c:order val="10"/>
          <c:spPr>
            <a:solidFill>
              <a:srgbClr val="181818"/>
            </a:solidFill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rgbClr val="FF0000">
                  <a:alpha val="25000"/>
                </a:srgbClr>
              </a:glow>
            </a:effectLst>
          </c:spPr>
          <c:invertIfNegative val="0"/>
          <c:val>
            <c:numRef>
              <c:f>Munka1!$AG$57:$AH$57</c:f>
              <c:numCache>
                <c:formatCode>General</c:formatCode>
                <c:ptCount val="2"/>
                <c:pt idx="0">
                  <c:v>2.4767399999999999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DDA-4962-81D7-081CC275FE38}"/>
            </c:ext>
          </c:extLst>
        </c:ser>
        <c:ser>
          <c:idx val="15"/>
          <c:order val="15"/>
          <c:spPr>
            <a:noFill/>
            <a:ln w="9525" cap="flat" cmpd="sng" algn="ctr">
              <a:solidFill>
                <a:srgbClr val="FFC000"/>
              </a:solidFill>
              <a:miter lim="800000"/>
            </a:ln>
            <a:effectLst>
              <a:glow rad="63500">
                <a:srgbClr val="FFC000">
                  <a:alpha val="25000"/>
                </a:srgbClr>
              </a:glow>
            </a:effectLst>
          </c:spPr>
          <c:invertIfNegative val="0"/>
          <c:val>
            <c:numRef>
              <c:f>Munka1!$AG$77:$AH$77</c:f>
              <c:numCache>
                <c:formatCode>General</c:formatCode>
                <c:ptCount val="2"/>
                <c:pt idx="0">
                  <c:v>186.52884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DDA-4962-81D7-081CC275FE38}"/>
            </c:ext>
          </c:extLst>
        </c:ser>
        <c:ser>
          <c:idx val="20"/>
          <c:order val="20"/>
          <c:spPr>
            <a:noFill/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lumOff val="40000"/>
                  <a:alpha val="25000"/>
                </a:schemeClr>
              </a:glow>
            </a:effectLst>
          </c:spPr>
          <c:invertIfNegative val="0"/>
          <c:val>
            <c:numRef>
              <c:f>Munka1!$AG$97:$AH$97</c:f>
              <c:numCache>
                <c:formatCode>General</c:formatCode>
                <c:ptCount val="2"/>
                <c:pt idx="0">
                  <c:v>727.31901999999991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DDA-4962-81D7-081CC275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0397616"/>
        <c:axId val="17203961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Munka1!$AG$18:$AH$18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DDA-4962-81D7-081CC275FE3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Munka1!$AG$19:$AH$19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DDA-4962-81D7-081CC275FE3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Munka1!$AG$20:$AH$20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DDA-4962-81D7-081CC275FE38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noFill/>
                  <a:ln w="9525" cap="flat" cmpd="sng" algn="ctr">
                    <a:solidFill>
                      <a:schemeClr val="accent5"/>
                    </a:solidFill>
                    <a:miter lim="800000"/>
                  </a:ln>
                  <a:effectLst>
                    <a:glow rad="63500">
                      <a:schemeClr val="accent5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Munka1!$AG$21:$AH$21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DDA-4962-81D7-081CC275FE38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Munka1!$AG$38:$AH$38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DDA-4962-81D7-081CC275FE38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noFill/>
                  <a:ln w="9525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Munka1!$AG$39:$AH$39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CDDA-4962-81D7-081CC275FE38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noFill/>
                  <a:ln w="9525" cap="flat" cmpd="sng" algn="ctr">
                    <a:solidFill>
                      <a:schemeClr val="accent3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Munka1!$AG$40:$AH$40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CDDA-4962-81D7-081CC275FE38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noFill/>
                  <a:ln w="9525" cap="flat" cmpd="sng" algn="ctr">
                    <a:solidFill>
                      <a:schemeClr val="accent4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Munka1!$AG$41:$AH$41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CDDA-4962-81D7-081CC275FE38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noFill/>
                  <a:ln w="9525" cap="flat" cmpd="sng" algn="ctr">
                    <a:solidFill>
                      <a:schemeClr val="accent6">
                        <a:lumMod val="6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6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Munka1!$AG$58:$AH$58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CDDA-4962-81D7-081CC275FE38}"/>
                  </c:ext>
                </c:extLst>
              </c15:ser>
            </c15:filteredBarSeries>
            <c15:filteredBarSeries>
              <c15:ser>
                <c:idx val="12"/>
                <c:order val="12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Munka1!$AG$59:$AH$59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CDDA-4962-81D7-081CC275FE38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Munka1!$AG$60:$AH$60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CDDA-4962-81D7-081CC275FE38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noFill/>
                  <a:ln w="9525" cap="flat" cmpd="sng" algn="ctr">
                    <a:solidFill>
                      <a:schemeClr val="accent3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3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Munka1!$AG$61:$AH$61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CDDA-4962-81D7-081CC275FE38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Munka1!$AG$78:$AH$78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CDDA-4962-81D7-081CC275FE38}"/>
                  </c:ext>
                </c:extLst>
              </c15:ser>
            </c15:filteredBarSeries>
            <c15:filteredBarSeries>
              <c15:ser>
                <c:idx val="17"/>
                <c:order val="17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  <a:lumOff val="2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lumOff val="2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Munka1!$AG$79:$AH$79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CDDA-4962-81D7-081CC275FE38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noFill/>
                  <a:ln w="9525" cap="flat" cmpd="sng" algn="ctr">
                    <a:solidFill>
                      <a:schemeClr val="accent1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Munka1!$AG$80:$AH$80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CDDA-4962-81D7-081CC275FE38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noFill/>
                  <a:ln w="9525" cap="flat" cmpd="sng" algn="ctr">
                    <a:solidFill>
                      <a:schemeClr val="accent2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2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Munka1!$AG$81:$AH$81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CDDA-4962-81D7-081CC275FE38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noFill/>
                  <a:ln w="9525" cap="flat" cmpd="sng" algn="ctr">
                    <a:solidFill>
                      <a:schemeClr val="accent4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Munka1!$AG$98:$AH$98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CDDA-4962-81D7-081CC275FE38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noFill/>
                  <a:ln w="9525" cap="flat" cmpd="sng" algn="ctr">
                    <a:solidFill>
                      <a:schemeClr val="accent5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5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Munka1!$AG$99:$AH$99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CDDA-4962-81D7-081CC275FE38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noFill/>
                  <a:ln w="9525" cap="flat" cmpd="sng" algn="ctr">
                    <a:solidFill>
                      <a:schemeClr val="accent6">
                        <a:lumMod val="80000"/>
                      </a:schemeClr>
                    </a:solidFill>
                    <a:miter lim="800000"/>
                  </a:ln>
                  <a:effectLst>
                    <a:glow rad="63500">
                      <a:schemeClr val="accent6">
                        <a:lumMod val="8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Munka1!$AG$100:$AH$100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CDDA-4962-81D7-081CC275FE38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noFill/>
                  <a:ln w="9525" cap="flat" cmpd="sng" algn="ctr">
                    <a:solidFill>
                      <a:schemeClr val="accent1">
                        <a:lumMod val="60000"/>
                        <a:lumOff val="40000"/>
                      </a:schemeClr>
                    </a:solidFill>
                    <a:miter lim="800000"/>
                  </a:ln>
                  <a:effectLst>
                    <a:glow rad="63500">
                      <a:schemeClr val="accent1">
                        <a:lumMod val="60000"/>
                        <a:lumOff val="40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Munka1!$AG$101:$AH$101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CDDA-4962-81D7-081CC275FE38}"/>
                  </c:ext>
                </c:extLst>
              </c15:ser>
            </c15:filteredBarSeries>
          </c:ext>
        </c:extLst>
      </c:barChart>
      <c:catAx>
        <c:axId val="1720397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20396176"/>
        <c:crosses val="autoZero"/>
        <c:auto val="1"/>
        <c:lblAlgn val="ctr"/>
        <c:lblOffset val="100"/>
        <c:noMultiLvlLbl val="0"/>
      </c:catAx>
      <c:valAx>
        <c:axId val="172039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203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81818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C#</a:t>
            </a:r>
            <a:r>
              <a:rPr lang="hu-HU" baseline="0"/>
              <a:t> tömbök vs listák 10000 adat rendezése esetán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B0F0"/>
              </a:solidFill>
              <a:miter lim="800000"/>
            </a:ln>
            <a:effectLst>
              <a:glow rad="63500">
                <a:srgbClr val="00B0F0">
                  <a:alpha val="24706"/>
                </a:srgbClr>
              </a:glow>
            </a:effectLst>
          </c:spPr>
          <c:invertIfNegative val="0"/>
          <c:val>
            <c:numRef>
              <c:f>(Munka1!$U$17:$U$21,Munka1!$U$37:$U$41,Munka1!$U$57:$U$61,Munka1!$U$77:$U$81,Munka1!$U$97:$U$101)</c:f>
              <c:numCache>
                <c:formatCode>General</c:formatCode>
                <c:ptCount val="25"/>
                <c:pt idx="0">
                  <c:v>172.90840000000003</c:v>
                </c:pt>
                <c:pt idx="5">
                  <c:v>159.46881999999999</c:v>
                </c:pt>
                <c:pt idx="10">
                  <c:v>0.85595999999999994</c:v>
                </c:pt>
                <c:pt idx="15">
                  <c:v>37.016820000000003</c:v>
                </c:pt>
                <c:pt idx="20">
                  <c:v>239.94793999999996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2-45F7-91A5-72620F7359F0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(Munka1!$V$17:$V$21,Munka1!$V$37:$V$41,Munka1!$V$57:$V$61,Munka1!$V$77:$V$81,Munka1!$V$97:$V$101)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1-2842-45F7-91A5-72620F7359F0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rgbClr val="39D401"/>
              </a:solidFill>
              <a:miter lim="800000"/>
            </a:ln>
            <a:effectLst>
              <a:glow rad="63500">
                <a:srgbClr val="39D401">
                  <a:alpha val="24706"/>
                </a:srgbClr>
              </a:glow>
            </a:effectLst>
          </c:spPr>
          <c:invertIfNegative val="0"/>
          <c:val>
            <c:numRef>
              <c:f>(Munka1!$AG$17:$AG$21,Munka1!$AG$37:$AG$41,Munka1!$AG$57:$AG$61,Munka1!$AG$77:$AG$81,Munka1!$AG$97:$AG$101)</c:f>
              <c:numCache>
                <c:formatCode>General</c:formatCode>
                <c:ptCount val="25"/>
                <c:pt idx="0">
                  <c:v>934.20799999999997</c:v>
                </c:pt>
                <c:pt idx="5">
                  <c:v>725.36712000000011</c:v>
                </c:pt>
                <c:pt idx="10">
                  <c:v>2.4767399999999999</c:v>
                </c:pt>
                <c:pt idx="15">
                  <c:v>186.52884</c:v>
                </c:pt>
                <c:pt idx="20">
                  <c:v>727.31901999999991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2-45F7-91A5-72620F7359F0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(Munka1!$AH$17:$AH$21,Munka1!$AH$37:$AH$41,Munka1!$AH$57:$AH$61,Munka1!$AH$77:$AH$81,Munka1!$AH$97:$AH$101)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3-2842-45F7-91A5-72620F735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07410928"/>
        <c:axId val="1907412848"/>
      </c:barChart>
      <c:catAx>
        <c:axId val="1907410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07412848"/>
        <c:crosses val="autoZero"/>
        <c:auto val="1"/>
        <c:lblAlgn val="ctr"/>
        <c:lblOffset val="100"/>
        <c:noMultiLvlLbl val="0"/>
      </c:catAx>
      <c:valAx>
        <c:axId val="1907412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0741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81818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24</xdr:col>
      <xdr:colOff>304800</xdr:colOff>
      <xdr:row>3</xdr:row>
      <xdr:rowOff>121920</xdr:rowOff>
    </xdr:to>
    <xdr:sp macro="" textlink="">
      <xdr:nvSpPr>
        <xdr:cNvPr id="1025" name="AutoShape 1" descr="Kimeneti kép">
          <a:extLst>
            <a:ext uri="{FF2B5EF4-FFF2-40B4-BE49-F238E27FC236}">
              <a16:creationId xmlns:a16="http://schemas.microsoft.com/office/drawing/2014/main" id="{41B76B78-42C3-8F2E-9CEA-87E8CFDF3CD2}"/>
            </a:ext>
          </a:extLst>
        </xdr:cNvPr>
        <xdr:cNvSpPr>
          <a:spLocks noChangeAspect="1" noChangeArrowheads="1"/>
        </xdr:cNvSpPr>
      </xdr:nvSpPr>
      <xdr:spPr bwMode="auto">
        <a:xfrm>
          <a:off x="16870680" y="6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526676</xdr:colOff>
      <xdr:row>104</xdr:row>
      <xdr:rowOff>78440</xdr:rowOff>
    </xdr:from>
    <xdr:to>
      <xdr:col>9</xdr:col>
      <xdr:colOff>358588</xdr:colOff>
      <xdr:row>132</xdr:row>
      <xdr:rowOff>156881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AC9B2D2-4501-1395-5430-1C592098A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425823</xdr:colOff>
      <xdr:row>104</xdr:row>
      <xdr:rowOff>90766</xdr:rowOff>
    </xdr:from>
    <xdr:to>
      <xdr:col>21</xdr:col>
      <xdr:colOff>179294</xdr:colOff>
      <xdr:row>132</xdr:row>
      <xdr:rowOff>156881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B40AC10-11E0-AF58-EE56-67F14E16E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493056</xdr:colOff>
      <xdr:row>136</xdr:row>
      <xdr:rowOff>11206</xdr:rowOff>
    </xdr:from>
    <xdr:to>
      <xdr:col>9</xdr:col>
      <xdr:colOff>437029</xdr:colOff>
      <xdr:row>162</xdr:row>
      <xdr:rowOff>133349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0357D61-9EDA-6D21-08B4-E8F035272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560294</xdr:colOff>
      <xdr:row>135</xdr:row>
      <xdr:rowOff>123265</xdr:rowOff>
    </xdr:from>
    <xdr:to>
      <xdr:col>21</xdr:col>
      <xdr:colOff>246529</xdr:colOff>
      <xdr:row>162</xdr:row>
      <xdr:rowOff>155763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67D56B7C-43F6-FFD7-3121-AD8C4B9EE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163285</xdr:colOff>
      <xdr:row>104</xdr:row>
      <xdr:rowOff>81644</xdr:rowOff>
    </xdr:from>
    <xdr:to>
      <xdr:col>32</xdr:col>
      <xdr:colOff>130629</xdr:colOff>
      <xdr:row>132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047DF7-29C4-50BE-D66B-1D04E41F0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185057</xdr:colOff>
      <xdr:row>135</xdr:row>
      <xdr:rowOff>114300</xdr:rowOff>
    </xdr:from>
    <xdr:to>
      <xdr:col>32</xdr:col>
      <xdr:colOff>185057</xdr:colOff>
      <xdr:row>162</xdr:row>
      <xdr:rowOff>119742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263E7D-F7A8-1670-D526-79A51C647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469-DBF7-4AEB-9906-415D34189B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15D9-583A-4023-8353-48201C4E59A9}">
  <dimension ref="A1:AH102"/>
  <sheetViews>
    <sheetView tabSelected="1" topLeftCell="A95" zoomScale="55" zoomScaleNormal="55" workbookViewId="0">
      <selection activeCell="AH137" sqref="AH137"/>
    </sheetView>
  </sheetViews>
  <sheetFormatPr defaultRowHeight="14.4" x14ac:dyDescent="0.3"/>
  <cols>
    <col min="5" max="5" width="17.6640625" customWidth="1"/>
    <col min="6" max="6" width="11.6640625" customWidth="1"/>
    <col min="7" max="7" width="17.33203125" customWidth="1"/>
    <col min="8" max="8" width="11.88671875" customWidth="1"/>
    <col min="19" max="19" width="16" customWidth="1"/>
    <col min="20" max="20" width="11.44140625" customWidth="1"/>
    <col min="31" max="31" width="14.44140625" customWidth="1"/>
    <col min="32" max="32" width="13.33203125" customWidth="1"/>
  </cols>
  <sheetData>
    <row r="1" spans="1:34" ht="36.6" customHeight="1" thickBot="1" x14ac:dyDescent="0.35">
      <c r="A1" s="51" t="s">
        <v>0</v>
      </c>
      <c r="B1" s="52"/>
      <c r="C1" s="53" t="s">
        <v>1</v>
      </c>
      <c r="D1" s="54"/>
      <c r="E1" s="55" t="s">
        <v>10</v>
      </c>
      <c r="F1" s="56"/>
      <c r="G1" s="49" t="s">
        <v>2</v>
      </c>
      <c r="H1" s="50"/>
      <c r="I1" s="47" t="s">
        <v>3</v>
      </c>
      <c r="J1" s="48"/>
      <c r="M1" s="51" t="s">
        <v>0</v>
      </c>
      <c r="N1" s="52"/>
      <c r="O1" s="53" t="s">
        <v>12</v>
      </c>
      <c r="P1" s="54"/>
      <c r="Q1" s="55" t="s">
        <v>10</v>
      </c>
      <c r="R1" s="56"/>
      <c r="S1" s="49" t="s">
        <v>2</v>
      </c>
      <c r="T1" s="50"/>
      <c r="U1" s="47" t="s">
        <v>3</v>
      </c>
      <c r="V1" s="48"/>
      <c r="Y1" s="51" t="s">
        <v>0</v>
      </c>
      <c r="Z1" s="52"/>
      <c r="AA1" s="53" t="s">
        <v>13</v>
      </c>
      <c r="AB1" s="54"/>
      <c r="AC1" s="55" t="s">
        <v>10</v>
      </c>
      <c r="AD1" s="56"/>
      <c r="AE1" s="49" t="s">
        <v>2</v>
      </c>
      <c r="AF1" s="50"/>
      <c r="AG1" s="47" t="s">
        <v>3</v>
      </c>
      <c r="AH1" s="48"/>
    </row>
    <row r="2" spans="1:34" ht="15" thickTop="1" x14ac:dyDescent="0.3">
      <c r="A2" s="11">
        <v>10</v>
      </c>
      <c r="B2" s="12"/>
      <c r="C2" s="13" t="s">
        <v>4</v>
      </c>
      <c r="D2" s="14"/>
      <c r="E2" s="15">
        <v>0</v>
      </c>
      <c r="F2" s="16"/>
      <c r="G2" s="17" t="s">
        <v>5</v>
      </c>
      <c r="H2" s="18"/>
      <c r="I2" s="29">
        <f>AVERAGE(E2:F6)</f>
        <v>1.9999998799999998E-2</v>
      </c>
      <c r="J2" s="30"/>
      <c r="M2" s="11">
        <v>10</v>
      </c>
      <c r="N2" s="12"/>
      <c r="O2" s="13" t="s">
        <v>9</v>
      </c>
      <c r="P2" s="14"/>
      <c r="Q2" s="15">
        <v>3.8999999999999998E-3</v>
      </c>
      <c r="R2" s="16"/>
      <c r="S2" s="17" t="s">
        <v>5</v>
      </c>
      <c r="T2" s="18"/>
      <c r="U2" s="29">
        <f>AVERAGE(Q2:R6)</f>
        <v>1.16E-3</v>
      </c>
      <c r="V2" s="30"/>
      <c r="Y2" s="11">
        <v>10</v>
      </c>
      <c r="Z2" s="12"/>
      <c r="AA2" s="13" t="s">
        <v>9</v>
      </c>
      <c r="AB2" s="14"/>
      <c r="AC2" s="15">
        <v>1.11E-2</v>
      </c>
      <c r="AD2" s="16"/>
      <c r="AE2" s="17" t="s">
        <v>5</v>
      </c>
      <c r="AF2" s="18"/>
      <c r="AG2" s="29">
        <f>AVERAGE(AC2:AD6)</f>
        <v>3.4000000000000002E-3</v>
      </c>
      <c r="AH2" s="30"/>
    </row>
    <row r="3" spans="1:34" x14ac:dyDescent="0.3">
      <c r="A3" s="27">
        <v>10</v>
      </c>
      <c r="B3" s="28"/>
      <c r="C3" s="5" t="s">
        <v>4</v>
      </c>
      <c r="D3" s="6"/>
      <c r="E3" s="7">
        <v>0</v>
      </c>
      <c r="F3" s="8"/>
      <c r="G3" s="9" t="s">
        <v>5</v>
      </c>
      <c r="H3" s="10"/>
      <c r="I3" s="31"/>
      <c r="J3" s="32"/>
      <c r="M3" s="27">
        <v>10</v>
      </c>
      <c r="N3" s="28"/>
      <c r="O3" s="58" t="s">
        <v>9</v>
      </c>
      <c r="P3" s="59"/>
      <c r="Q3" s="7">
        <v>5.0000000000000001E-4</v>
      </c>
      <c r="R3" s="8"/>
      <c r="S3" s="9" t="s">
        <v>5</v>
      </c>
      <c r="T3" s="10"/>
      <c r="U3" s="31"/>
      <c r="V3" s="32"/>
      <c r="Y3" s="27">
        <v>10</v>
      </c>
      <c r="Z3" s="28"/>
      <c r="AA3" s="58" t="s">
        <v>9</v>
      </c>
      <c r="AB3" s="59"/>
      <c r="AC3" s="7">
        <v>1.4E-3</v>
      </c>
      <c r="AD3" s="8"/>
      <c r="AE3" s="9" t="s">
        <v>5</v>
      </c>
      <c r="AF3" s="10"/>
      <c r="AG3" s="31"/>
      <c r="AH3" s="32"/>
    </row>
    <row r="4" spans="1:34" ht="16.2" customHeight="1" x14ac:dyDescent="0.3">
      <c r="A4" s="27">
        <v>10</v>
      </c>
      <c r="B4" s="28"/>
      <c r="C4" s="5" t="s">
        <v>4</v>
      </c>
      <c r="D4" s="6"/>
      <c r="E4" s="7">
        <v>9.9999993999999995E-2</v>
      </c>
      <c r="F4" s="8"/>
      <c r="G4" s="9" t="s">
        <v>5</v>
      </c>
      <c r="H4" s="10"/>
      <c r="I4" s="31"/>
      <c r="J4" s="32"/>
      <c r="M4" s="27">
        <v>10</v>
      </c>
      <c r="N4" s="28"/>
      <c r="O4" s="58" t="s">
        <v>9</v>
      </c>
      <c r="P4" s="59"/>
      <c r="Q4" s="7">
        <v>2.9999999999999997E-4</v>
      </c>
      <c r="R4" s="8"/>
      <c r="S4" s="9" t="s">
        <v>5</v>
      </c>
      <c r="T4" s="10"/>
      <c r="U4" s="31"/>
      <c r="V4" s="32"/>
      <c r="Y4" s="27">
        <v>10</v>
      </c>
      <c r="Z4" s="28"/>
      <c r="AA4" s="58" t="s">
        <v>9</v>
      </c>
      <c r="AB4" s="59"/>
      <c r="AC4" s="7">
        <v>1.6000000000000001E-3</v>
      </c>
      <c r="AD4" s="8"/>
      <c r="AE4" s="9" t="s">
        <v>5</v>
      </c>
      <c r="AF4" s="10"/>
      <c r="AG4" s="31"/>
      <c r="AH4" s="32"/>
    </row>
    <row r="5" spans="1:34" x14ac:dyDescent="0.3">
      <c r="A5" s="27">
        <v>10</v>
      </c>
      <c r="B5" s="28"/>
      <c r="C5" s="5" t="s">
        <v>4</v>
      </c>
      <c r="D5" s="6"/>
      <c r="E5" s="7">
        <v>0</v>
      </c>
      <c r="F5" s="8"/>
      <c r="G5" s="9" t="s">
        <v>5</v>
      </c>
      <c r="H5" s="10"/>
      <c r="I5" s="31"/>
      <c r="J5" s="32"/>
      <c r="M5" s="27">
        <v>10</v>
      </c>
      <c r="N5" s="28"/>
      <c r="O5" s="58" t="s">
        <v>9</v>
      </c>
      <c r="P5" s="59"/>
      <c r="Q5" s="7">
        <v>5.9999999999999995E-4</v>
      </c>
      <c r="R5" s="8"/>
      <c r="S5" s="9" t="s">
        <v>5</v>
      </c>
      <c r="T5" s="10"/>
      <c r="U5" s="31"/>
      <c r="V5" s="32"/>
      <c r="Y5" s="27">
        <v>10</v>
      </c>
      <c r="Z5" s="28"/>
      <c r="AA5" s="58" t="s">
        <v>9</v>
      </c>
      <c r="AB5" s="59"/>
      <c r="AC5" s="7">
        <v>1.4E-3</v>
      </c>
      <c r="AD5" s="8"/>
      <c r="AE5" s="9" t="s">
        <v>5</v>
      </c>
      <c r="AF5" s="10"/>
      <c r="AG5" s="31"/>
      <c r="AH5" s="32"/>
    </row>
    <row r="6" spans="1:34" ht="15" thickBot="1" x14ac:dyDescent="0.35">
      <c r="A6" s="19">
        <v>10</v>
      </c>
      <c r="B6" s="20"/>
      <c r="C6" s="21" t="s">
        <v>4</v>
      </c>
      <c r="D6" s="22"/>
      <c r="E6" s="23">
        <v>0</v>
      </c>
      <c r="F6" s="24"/>
      <c r="G6" s="25" t="s">
        <v>5</v>
      </c>
      <c r="H6" s="26"/>
      <c r="I6" s="33"/>
      <c r="J6" s="34"/>
      <c r="M6" s="19">
        <v>10</v>
      </c>
      <c r="N6" s="20"/>
      <c r="O6" s="60" t="s">
        <v>9</v>
      </c>
      <c r="P6" s="61"/>
      <c r="Q6" s="23">
        <v>5.0000000000000001E-4</v>
      </c>
      <c r="R6" s="24"/>
      <c r="S6" s="25" t="s">
        <v>5</v>
      </c>
      <c r="T6" s="26"/>
      <c r="U6" s="33"/>
      <c r="V6" s="34"/>
      <c r="Y6" s="19">
        <v>10</v>
      </c>
      <c r="Z6" s="20"/>
      <c r="AA6" s="60" t="s">
        <v>9</v>
      </c>
      <c r="AB6" s="61"/>
      <c r="AC6" s="23">
        <v>1.5E-3</v>
      </c>
      <c r="AD6" s="24"/>
      <c r="AE6" s="25" t="s">
        <v>5</v>
      </c>
      <c r="AF6" s="26"/>
      <c r="AG6" s="33"/>
      <c r="AH6" s="34"/>
    </row>
    <row r="7" spans="1:34" ht="15" thickTop="1" x14ac:dyDescent="0.3">
      <c r="A7" s="11">
        <v>100</v>
      </c>
      <c r="B7" s="12"/>
      <c r="C7" s="13" t="s">
        <v>4</v>
      </c>
      <c r="D7" s="14"/>
      <c r="E7" s="15">
        <v>9.9999993999999995E-2</v>
      </c>
      <c r="F7" s="16"/>
      <c r="G7" s="17" t="s">
        <v>5</v>
      </c>
      <c r="H7" s="18"/>
      <c r="I7" s="29">
        <f>AVERAGE(E7:F11)</f>
        <v>4.000000058E-2</v>
      </c>
      <c r="J7" s="30"/>
      <c r="M7" s="11">
        <v>100</v>
      </c>
      <c r="N7" s="12"/>
      <c r="O7" s="62" t="s">
        <v>9</v>
      </c>
      <c r="P7" s="63"/>
      <c r="Q7" s="15">
        <v>1.7399999999999999E-2</v>
      </c>
      <c r="R7" s="16"/>
      <c r="S7" s="17" t="s">
        <v>5</v>
      </c>
      <c r="T7" s="18"/>
      <c r="U7" s="29">
        <f>AVERAGE(Q7:R11)</f>
        <v>1.6240000000000001E-2</v>
      </c>
      <c r="V7" s="30"/>
      <c r="Y7" s="11">
        <v>100</v>
      </c>
      <c r="Z7" s="12"/>
      <c r="AA7" s="62" t="s">
        <v>9</v>
      </c>
      <c r="AB7" s="63"/>
      <c r="AC7" s="15">
        <v>8.7400000000000005E-2</v>
      </c>
      <c r="AD7" s="16"/>
      <c r="AE7" s="17" t="s">
        <v>5</v>
      </c>
      <c r="AF7" s="18"/>
      <c r="AG7" s="29">
        <f>AVERAGE(AC7:AD11)</f>
        <v>8.5379999999999998E-2</v>
      </c>
      <c r="AH7" s="30"/>
    </row>
    <row r="8" spans="1:34" x14ac:dyDescent="0.3">
      <c r="A8" s="27">
        <v>100</v>
      </c>
      <c r="B8" s="28"/>
      <c r="C8" s="5" t="s">
        <v>4</v>
      </c>
      <c r="D8" s="6"/>
      <c r="E8" s="7">
        <v>0</v>
      </c>
      <c r="F8" s="8"/>
      <c r="G8" s="9" t="s">
        <v>5</v>
      </c>
      <c r="H8" s="10"/>
      <c r="I8" s="31"/>
      <c r="J8" s="32"/>
      <c r="M8" s="27">
        <v>100</v>
      </c>
      <c r="N8" s="28"/>
      <c r="O8" s="58" t="s">
        <v>9</v>
      </c>
      <c r="P8" s="59"/>
      <c r="Q8" s="7">
        <v>1.7600000000000001E-2</v>
      </c>
      <c r="R8" s="8"/>
      <c r="S8" s="9" t="s">
        <v>5</v>
      </c>
      <c r="T8" s="10"/>
      <c r="U8" s="31"/>
      <c r="V8" s="32"/>
      <c r="Y8" s="27">
        <v>100</v>
      </c>
      <c r="Z8" s="28"/>
      <c r="AA8" s="58" t="s">
        <v>9</v>
      </c>
      <c r="AB8" s="59"/>
      <c r="AC8" s="7">
        <v>8.3699999999999997E-2</v>
      </c>
      <c r="AD8" s="8"/>
      <c r="AE8" s="9" t="s">
        <v>5</v>
      </c>
      <c r="AF8" s="10"/>
      <c r="AG8" s="31"/>
      <c r="AH8" s="32"/>
    </row>
    <row r="9" spans="1:34" x14ac:dyDescent="0.3">
      <c r="A9" s="27">
        <v>100</v>
      </c>
      <c r="B9" s="28"/>
      <c r="C9" s="5" t="s">
        <v>4</v>
      </c>
      <c r="D9" s="6"/>
      <c r="E9" s="7">
        <v>0</v>
      </c>
      <c r="F9" s="8"/>
      <c r="G9" s="9" t="s">
        <v>5</v>
      </c>
      <c r="H9" s="10"/>
      <c r="I9" s="31"/>
      <c r="J9" s="32"/>
      <c r="M9" s="27">
        <v>100</v>
      </c>
      <c r="N9" s="28"/>
      <c r="O9" s="58" t="s">
        <v>9</v>
      </c>
      <c r="P9" s="59"/>
      <c r="Q9" s="7">
        <v>1.6E-2</v>
      </c>
      <c r="R9" s="8"/>
      <c r="S9" s="9" t="s">
        <v>5</v>
      </c>
      <c r="T9" s="10"/>
      <c r="U9" s="31"/>
      <c r="V9" s="32"/>
      <c r="Y9" s="27">
        <v>100</v>
      </c>
      <c r="Z9" s="28"/>
      <c r="AA9" s="58" t="s">
        <v>9</v>
      </c>
      <c r="AB9" s="59"/>
      <c r="AC9" s="7">
        <v>8.6099999999999996E-2</v>
      </c>
      <c r="AD9" s="8"/>
      <c r="AE9" s="9" t="s">
        <v>5</v>
      </c>
      <c r="AF9" s="10"/>
      <c r="AG9" s="31"/>
      <c r="AH9" s="32"/>
    </row>
    <row r="10" spans="1:34" x14ac:dyDescent="0.3">
      <c r="A10" s="27">
        <v>100</v>
      </c>
      <c r="B10" s="28"/>
      <c r="C10" s="5" t="s">
        <v>4</v>
      </c>
      <c r="D10" s="6"/>
      <c r="E10" s="7">
        <v>0.10000000890000001</v>
      </c>
      <c r="F10" s="8"/>
      <c r="G10" s="9" t="s">
        <v>5</v>
      </c>
      <c r="H10" s="10"/>
      <c r="I10" s="31"/>
      <c r="J10" s="32"/>
      <c r="M10" s="27">
        <v>100</v>
      </c>
      <c r="N10" s="28"/>
      <c r="O10" s="58" t="s">
        <v>9</v>
      </c>
      <c r="P10" s="59"/>
      <c r="Q10" s="7">
        <v>1.52E-2</v>
      </c>
      <c r="R10" s="8"/>
      <c r="S10" s="9" t="s">
        <v>5</v>
      </c>
      <c r="T10" s="10"/>
      <c r="U10" s="31"/>
      <c r="V10" s="32"/>
      <c r="Y10" s="27">
        <v>100</v>
      </c>
      <c r="Z10" s="28"/>
      <c r="AA10" s="58" t="s">
        <v>9</v>
      </c>
      <c r="AB10" s="59"/>
      <c r="AC10" s="7">
        <v>8.2500000000000004E-2</v>
      </c>
      <c r="AD10" s="8"/>
      <c r="AE10" s="9" t="s">
        <v>5</v>
      </c>
      <c r="AF10" s="10"/>
      <c r="AG10" s="31"/>
      <c r="AH10" s="32"/>
    </row>
    <row r="11" spans="1:34" ht="15" thickBot="1" x14ac:dyDescent="0.35">
      <c r="A11" s="19">
        <v>100</v>
      </c>
      <c r="B11" s="20"/>
      <c r="C11" s="21" t="s">
        <v>4</v>
      </c>
      <c r="D11" s="22"/>
      <c r="E11" s="23">
        <v>0</v>
      </c>
      <c r="F11" s="24"/>
      <c r="G11" s="25" t="s">
        <v>5</v>
      </c>
      <c r="H11" s="26"/>
      <c r="I11" s="33"/>
      <c r="J11" s="34"/>
      <c r="M11" s="19">
        <v>100</v>
      </c>
      <c r="N11" s="20"/>
      <c r="O11" s="60" t="s">
        <v>9</v>
      </c>
      <c r="P11" s="61"/>
      <c r="Q11" s="23">
        <v>1.4999999999999999E-2</v>
      </c>
      <c r="R11" s="24"/>
      <c r="S11" s="25" t="s">
        <v>5</v>
      </c>
      <c r="T11" s="26"/>
      <c r="U11" s="33"/>
      <c r="V11" s="34"/>
      <c r="Y11" s="19">
        <v>100</v>
      </c>
      <c r="Z11" s="20"/>
      <c r="AA11" s="60" t="s">
        <v>9</v>
      </c>
      <c r="AB11" s="61"/>
      <c r="AC11" s="23">
        <v>8.72E-2</v>
      </c>
      <c r="AD11" s="24"/>
      <c r="AE11" s="25" t="s">
        <v>5</v>
      </c>
      <c r="AF11" s="26"/>
      <c r="AG11" s="33"/>
      <c r="AH11" s="34"/>
    </row>
    <row r="12" spans="1:34" ht="15" thickTop="1" x14ac:dyDescent="0.3">
      <c r="A12" s="11">
        <v>1000</v>
      </c>
      <c r="B12" s="12"/>
      <c r="C12" s="13" t="s">
        <v>4</v>
      </c>
      <c r="D12" s="14"/>
      <c r="E12" s="15">
        <v>1</v>
      </c>
      <c r="F12" s="16"/>
      <c r="G12" s="17" t="s">
        <v>5</v>
      </c>
      <c r="H12" s="18"/>
      <c r="I12" s="29">
        <f t="shared" ref="I12" si="0">AVERAGE(E12:F16)</f>
        <v>1.0200000017999999</v>
      </c>
      <c r="J12" s="30"/>
      <c r="M12" s="11">
        <v>1000</v>
      </c>
      <c r="N12" s="12"/>
      <c r="O12" s="62" t="s">
        <v>9</v>
      </c>
      <c r="P12" s="63"/>
      <c r="Q12" s="15">
        <v>1.2378</v>
      </c>
      <c r="R12" s="16"/>
      <c r="S12" s="17" t="s">
        <v>5</v>
      </c>
      <c r="T12" s="18"/>
      <c r="U12" s="29">
        <f t="shared" ref="U12" si="1">AVERAGE(Q12:R16)</f>
        <v>1.2416</v>
      </c>
      <c r="V12" s="30"/>
      <c r="Y12" s="11">
        <v>1000</v>
      </c>
      <c r="Z12" s="12"/>
      <c r="AA12" s="62" t="s">
        <v>9</v>
      </c>
      <c r="AB12" s="63"/>
      <c r="AC12" s="15">
        <v>8.0419</v>
      </c>
      <c r="AD12" s="16"/>
      <c r="AE12" s="17" t="s">
        <v>5</v>
      </c>
      <c r="AF12" s="18"/>
      <c r="AG12" s="29">
        <f t="shared" ref="AG12" si="2">AVERAGE(AC12:AD16)</f>
        <v>8.3491800000000005</v>
      </c>
      <c r="AH12" s="30"/>
    </row>
    <row r="13" spans="1:34" x14ac:dyDescent="0.3">
      <c r="A13" s="27">
        <v>1000</v>
      </c>
      <c r="B13" s="28"/>
      <c r="C13" s="5" t="s">
        <v>4</v>
      </c>
      <c r="D13" s="6"/>
      <c r="E13" s="7">
        <v>1</v>
      </c>
      <c r="F13" s="8"/>
      <c r="G13" s="9" t="s">
        <v>5</v>
      </c>
      <c r="H13" s="10"/>
      <c r="I13" s="31"/>
      <c r="J13" s="32"/>
      <c r="M13" s="27">
        <v>1000</v>
      </c>
      <c r="N13" s="28"/>
      <c r="O13" s="58" t="s">
        <v>9</v>
      </c>
      <c r="P13" s="59"/>
      <c r="Q13" s="7">
        <v>1.2319</v>
      </c>
      <c r="R13" s="8"/>
      <c r="S13" s="9" t="s">
        <v>5</v>
      </c>
      <c r="T13" s="10"/>
      <c r="U13" s="31"/>
      <c r="V13" s="32"/>
      <c r="Y13" s="27">
        <v>1000</v>
      </c>
      <c r="Z13" s="28"/>
      <c r="AA13" s="58" t="s">
        <v>9</v>
      </c>
      <c r="AB13" s="59"/>
      <c r="AC13" s="7">
        <v>8.3656000000000006</v>
      </c>
      <c r="AD13" s="8"/>
      <c r="AE13" s="9" t="s">
        <v>5</v>
      </c>
      <c r="AF13" s="10"/>
      <c r="AG13" s="31"/>
      <c r="AH13" s="32"/>
    </row>
    <row r="14" spans="1:34" x14ac:dyDescent="0.3">
      <c r="A14" s="27">
        <v>1000</v>
      </c>
      <c r="B14" s="28"/>
      <c r="C14" s="5" t="s">
        <v>4</v>
      </c>
      <c r="D14" s="6"/>
      <c r="E14" s="7">
        <v>1.200000003</v>
      </c>
      <c r="F14" s="8"/>
      <c r="G14" s="9" t="s">
        <v>5</v>
      </c>
      <c r="H14" s="10"/>
      <c r="I14" s="31"/>
      <c r="J14" s="32"/>
      <c r="M14" s="27">
        <v>1000</v>
      </c>
      <c r="N14" s="28"/>
      <c r="O14" s="58" t="s">
        <v>9</v>
      </c>
      <c r="P14" s="59"/>
      <c r="Q14" s="7">
        <v>1.23</v>
      </c>
      <c r="R14" s="8"/>
      <c r="S14" s="9" t="s">
        <v>5</v>
      </c>
      <c r="T14" s="10"/>
      <c r="U14" s="31"/>
      <c r="V14" s="32"/>
      <c r="Y14" s="27">
        <v>1000</v>
      </c>
      <c r="Z14" s="28"/>
      <c r="AA14" s="58" t="s">
        <v>9</v>
      </c>
      <c r="AB14" s="59"/>
      <c r="AC14" s="7">
        <v>8.6418999999999997</v>
      </c>
      <c r="AD14" s="8"/>
      <c r="AE14" s="9" t="s">
        <v>5</v>
      </c>
      <c r="AF14" s="10"/>
      <c r="AG14" s="31"/>
      <c r="AH14" s="32"/>
    </row>
    <row r="15" spans="1:34" x14ac:dyDescent="0.3">
      <c r="A15" s="27">
        <v>1000</v>
      </c>
      <c r="B15" s="28"/>
      <c r="C15" s="5" t="s">
        <v>4</v>
      </c>
      <c r="D15" s="6"/>
      <c r="E15" s="7">
        <v>1</v>
      </c>
      <c r="F15" s="8"/>
      <c r="G15" s="9" t="s">
        <v>5</v>
      </c>
      <c r="H15" s="10"/>
      <c r="I15" s="31"/>
      <c r="J15" s="32"/>
      <c r="M15" s="27">
        <v>1000</v>
      </c>
      <c r="N15" s="28"/>
      <c r="O15" s="58" t="s">
        <v>9</v>
      </c>
      <c r="P15" s="59"/>
      <c r="Q15" s="7">
        <v>1.2498</v>
      </c>
      <c r="R15" s="8"/>
      <c r="S15" s="9" t="s">
        <v>5</v>
      </c>
      <c r="T15" s="10"/>
      <c r="U15" s="31"/>
      <c r="V15" s="32"/>
      <c r="Y15" s="27">
        <v>1000</v>
      </c>
      <c r="Z15" s="28"/>
      <c r="AA15" s="58" t="s">
        <v>9</v>
      </c>
      <c r="AB15" s="59"/>
      <c r="AC15" s="7">
        <v>8.4367000000000001</v>
      </c>
      <c r="AD15" s="8"/>
      <c r="AE15" s="9" t="s">
        <v>5</v>
      </c>
      <c r="AF15" s="10"/>
      <c r="AG15" s="31"/>
      <c r="AH15" s="32"/>
    </row>
    <row r="16" spans="1:34" ht="15" thickBot="1" x14ac:dyDescent="0.35">
      <c r="A16" s="19">
        <v>1000</v>
      </c>
      <c r="B16" s="20"/>
      <c r="C16" s="21" t="s">
        <v>4</v>
      </c>
      <c r="D16" s="22"/>
      <c r="E16" s="23">
        <v>0.90000000599999996</v>
      </c>
      <c r="F16" s="24"/>
      <c r="G16" s="25" t="s">
        <v>5</v>
      </c>
      <c r="H16" s="26"/>
      <c r="I16" s="33"/>
      <c r="J16" s="34"/>
      <c r="M16" s="19">
        <v>1000</v>
      </c>
      <c r="N16" s="20"/>
      <c r="O16" s="60" t="s">
        <v>9</v>
      </c>
      <c r="P16" s="61"/>
      <c r="Q16" s="23">
        <v>1.2585</v>
      </c>
      <c r="R16" s="24"/>
      <c r="S16" s="25" t="s">
        <v>5</v>
      </c>
      <c r="T16" s="26"/>
      <c r="U16" s="33"/>
      <c r="V16" s="34"/>
      <c r="Y16" s="19">
        <v>1000</v>
      </c>
      <c r="Z16" s="20"/>
      <c r="AA16" s="60" t="s">
        <v>9</v>
      </c>
      <c r="AB16" s="61"/>
      <c r="AC16" s="23">
        <v>8.2598000000000003</v>
      </c>
      <c r="AD16" s="24"/>
      <c r="AE16" s="25" t="s">
        <v>5</v>
      </c>
      <c r="AF16" s="26"/>
      <c r="AG16" s="33"/>
      <c r="AH16" s="34"/>
    </row>
    <row r="17" spans="1:34" ht="15" thickTop="1" x14ac:dyDescent="0.3">
      <c r="A17" s="11">
        <v>10000</v>
      </c>
      <c r="B17" s="12"/>
      <c r="C17" s="13" t="s">
        <v>4</v>
      </c>
      <c r="D17" s="14"/>
      <c r="E17" s="15">
        <v>113.400000006</v>
      </c>
      <c r="F17" s="16"/>
      <c r="G17" s="17" t="s">
        <v>5</v>
      </c>
      <c r="H17" s="18"/>
      <c r="I17" s="29">
        <f t="shared" ref="I17" si="3">AVERAGE(E17:F21)</f>
        <v>86.940000006560012</v>
      </c>
      <c r="J17" s="30"/>
      <c r="M17" s="11">
        <v>10000</v>
      </c>
      <c r="N17" s="12"/>
      <c r="O17" s="62" t="s">
        <v>9</v>
      </c>
      <c r="P17" s="63"/>
      <c r="Q17" s="15">
        <v>181.92009999999999</v>
      </c>
      <c r="R17" s="16"/>
      <c r="S17" s="17" t="s">
        <v>5</v>
      </c>
      <c r="T17" s="18"/>
      <c r="U17" s="29">
        <f t="shared" ref="U17" si="4">AVERAGE(Q17:R21)</f>
        <v>172.90840000000003</v>
      </c>
      <c r="V17" s="30"/>
      <c r="Y17" s="11">
        <v>10000</v>
      </c>
      <c r="Z17" s="12"/>
      <c r="AA17" s="62" t="s">
        <v>9</v>
      </c>
      <c r="AB17" s="63"/>
      <c r="AC17" s="15">
        <v>1026.3544999999999</v>
      </c>
      <c r="AD17" s="16"/>
      <c r="AE17" s="17" t="s">
        <v>5</v>
      </c>
      <c r="AF17" s="18"/>
      <c r="AG17" s="29">
        <f t="shared" ref="AG17" si="5">AVERAGE(AC17:AD21)</f>
        <v>934.20799999999997</v>
      </c>
      <c r="AH17" s="30"/>
    </row>
    <row r="18" spans="1:34" x14ac:dyDescent="0.3">
      <c r="A18" s="27">
        <v>10000</v>
      </c>
      <c r="B18" s="28"/>
      <c r="C18" s="5" t="s">
        <v>4</v>
      </c>
      <c r="D18" s="6"/>
      <c r="E18" s="7">
        <v>104.5</v>
      </c>
      <c r="F18" s="8"/>
      <c r="G18" s="9" t="s">
        <v>5</v>
      </c>
      <c r="H18" s="10"/>
      <c r="I18" s="31"/>
      <c r="J18" s="32"/>
      <c r="M18" s="27">
        <v>10000</v>
      </c>
      <c r="N18" s="28"/>
      <c r="O18" s="58" t="s">
        <v>9</v>
      </c>
      <c r="P18" s="59"/>
      <c r="Q18" s="7">
        <v>173.35570000000001</v>
      </c>
      <c r="R18" s="8"/>
      <c r="S18" s="9" t="s">
        <v>5</v>
      </c>
      <c r="T18" s="10"/>
      <c r="U18" s="31"/>
      <c r="V18" s="32"/>
      <c r="Y18" s="27">
        <v>10000</v>
      </c>
      <c r="Z18" s="28"/>
      <c r="AA18" s="58" t="s">
        <v>9</v>
      </c>
      <c r="AB18" s="59"/>
      <c r="AC18" s="7">
        <v>1023.5555000000001</v>
      </c>
      <c r="AD18" s="8"/>
      <c r="AE18" s="9" t="s">
        <v>5</v>
      </c>
      <c r="AF18" s="10"/>
      <c r="AG18" s="31"/>
      <c r="AH18" s="32"/>
    </row>
    <row r="19" spans="1:34" x14ac:dyDescent="0.3">
      <c r="A19" s="27">
        <v>10000</v>
      </c>
      <c r="B19" s="28"/>
      <c r="C19" s="5" t="s">
        <v>4</v>
      </c>
      <c r="D19" s="6"/>
      <c r="E19" s="7">
        <v>73.600000008899997</v>
      </c>
      <c r="F19" s="8"/>
      <c r="G19" s="9" t="s">
        <v>5</v>
      </c>
      <c r="H19" s="10"/>
      <c r="I19" s="31"/>
      <c r="J19" s="32"/>
      <c r="M19" s="27">
        <v>10000</v>
      </c>
      <c r="N19" s="28"/>
      <c r="O19" s="58" t="s">
        <v>9</v>
      </c>
      <c r="P19" s="59"/>
      <c r="Q19" s="7">
        <v>171.13300000000001</v>
      </c>
      <c r="R19" s="8"/>
      <c r="S19" s="9" t="s">
        <v>5</v>
      </c>
      <c r="T19" s="10"/>
      <c r="U19" s="31"/>
      <c r="V19" s="32"/>
      <c r="Y19" s="27">
        <v>10000</v>
      </c>
      <c r="Z19" s="28"/>
      <c r="AA19" s="58" t="s">
        <v>9</v>
      </c>
      <c r="AB19" s="59"/>
      <c r="AC19" s="7">
        <v>905.84659999999997</v>
      </c>
      <c r="AD19" s="8"/>
      <c r="AE19" s="9" t="s">
        <v>5</v>
      </c>
      <c r="AF19" s="10"/>
      <c r="AG19" s="31"/>
      <c r="AH19" s="32"/>
    </row>
    <row r="20" spans="1:34" x14ac:dyDescent="0.3">
      <c r="A20" s="27">
        <v>10000</v>
      </c>
      <c r="B20" s="28"/>
      <c r="C20" s="5" t="s">
        <v>4</v>
      </c>
      <c r="D20" s="6"/>
      <c r="E20" s="7">
        <v>69.800000011899996</v>
      </c>
      <c r="F20" s="8"/>
      <c r="G20" s="9" t="s">
        <v>5</v>
      </c>
      <c r="H20" s="10"/>
      <c r="I20" s="31"/>
      <c r="J20" s="32"/>
      <c r="M20" s="27">
        <v>10000</v>
      </c>
      <c r="N20" s="28"/>
      <c r="O20" s="58" t="s">
        <v>9</v>
      </c>
      <c r="P20" s="59"/>
      <c r="Q20" s="7">
        <v>173.2294</v>
      </c>
      <c r="R20" s="8"/>
      <c r="S20" s="9" t="s">
        <v>5</v>
      </c>
      <c r="T20" s="10"/>
      <c r="U20" s="31"/>
      <c r="V20" s="32"/>
      <c r="Y20" s="27">
        <v>10000</v>
      </c>
      <c r="Z20" s="28"/>
      <c r="AA20" s="58" t="s">
        <v>9</v>
      </c>
      <c r="AB20" s="59"/>
      <c r="AC20" s="7">
        <v>915.13580000000002</v>
      </c>
      <c r="AD20" s="8"/>
      <c r="AE20" s="9" t="s">
        <v>5</v>
      </c>
      <c r="AF20" s="10"/>
      <c r="AG20" s="31"/>
      <c r="AH20" s="32"/>
    </row>
    <row r="21" spans="1:34" ht="15" thickBot="1" x14ac:dyDescent="0.35">
      <c r="A21" s="35">
        <v>10000</v>
      </c>
      <c r="B21" s="36"/>
      <c r="C21" s="37" t="s">
        <v>4</v>
      </c>
      <c r="D21" s="38"/>
      <c r="E21" s="39">
        <v>73.400000005999999</v>
      </c>
      <c r="F21" s="40"/>
      <c r="G21" s="41" t="s">
        <v>5</v>
      </c>
      <c r="H21" s="42"/>
      <c r="I21" s="33"/>
      <c r="J21" s="34"/>
      <c r="M21" s="35">
        <v>10000</v>
      </c>
      <c r="N21" s="36"/>
      <c r="O21" s="64" t="s">
        <v>9</v>
      </c>
      <c r="P21" s="65"/>
      <c r="Q21" s="39">
        <v>164.90379999999999</v>
      </c>
      <c r="R21" s="40"/>
      <c r="S21" s="41" t="s">
        <v>5</v>
      </c>
      <c r="T21" s="42"/>
      <c r="U21" s="33"/>
      <c r="V21" s="34"/>
      <c r="Y21" s="35">
        <v>10000</v>
      </c>
      <c r="Z21" s="36"/>
      <c r="AA21" s="64" t="s">
        <v>9</v>
      </c>
      <c r="AB21" s="65"/>
      <c r="AC21" s="70">
        <v>800.14760000000001</v>
      </c>
      <c r="AD21" s="71"/>
      <c r="AE21" s="41" t="s">
        <v>5</v>
      </c>
      <c r="AF21" s="42"/>
      <c r="AG21" s="33"/>
      <c r="AH21" s="34"/>
    </row>
    <row r="22" spans="1:34" ht="15" thickTop="1" x14ac:dyDescent="0.3">
      <c r="A22" s="43">
        <v>10</v>
      </c>
      <c r="B22" s="44"/>
      <c r="C22" s="45" t="s">
        <v>4</v>
      </c>
      <c r="D22" s="46"/>
      <c r="E22" s="1">
        <v>0</v>
      </c>
      <c r="F22" s="2"/>
      <c r="G22" s="3" t="s">
        <v>6</v>
      </c>
      <c r="H22" s="4"/>
      <c r="I22" s="29">
        <f t="shared" ref="I22" si="6">AVERAGE(E22:F26)</f>
        <v>0</v>
      </c>
      <c r="J22" s="30"/>
      <c r="M22" s="43">
        <v>10</v>
      </c>
      <c r="N22" s="44"/>
      <c r="O22" s="66" t="s">
        <v>9</v>
      </c>
      <c r="P22" s="67"/>
      <c r="Q22" s="7">
        <v>5.9999999999999995E-4</v>
      </c>
      <c r="R22" s="8"/>
      <c r="S22" s="3" t="s">
        <v>6</v>
      </c>
      <c r="T22" s="4"/>
      <c r="U22" s="29">
        <f t="shared" ref="U22" si="7">AVERAGE(Q22:R26)</f>
        <v>3.0000000000000003E-4</v>
      </c>
      <c r="V22" s="30"/>
      <c r="Y22" s="43">
        <v>10</v>
      </c>
      <c r="Z22" s="44"/>
      <c r="AA22" s="66" t="s">
        <v>9</v>
      </c>
      <c r="AB22" s="67"/>
      <c r="AC22" s="72">
        <v>1.1999999999999999E-3</v>
      </c>
      <c r="AD22" s="73"/>
      <c r="AE22" s="3" t="s">
        <v>6</v>
      </c>
      <c r="AF22" s="4"/>
      <c r="AG22" s="29">
        <f t="shared" ref="AG22" si="8">AVERAGE(AC22:AD26)</f>
        <v>1E-3</v>
      </c>
      <c r="AH22" s="30"/>
    </row>
    <row r="23" spans="1:34" x14ac:dyDescent="0.3">
      <c r="A23" s="27">
        <v>10</v>
      </c>
      <c r="B23" s="28"/>
      <c r="C23" s="5" t="s">
        <v>4</v>
      </c>
      <c r="D23" s="6"/>
      <c r="E23" s="7">
        <v>0</v>
      </c>
      <c r="F23" s="8"/>
      <c r="G23" s="9" t="s">
        <v>6</v>
      </c>
      <c r="H23" s="10"/>
      <c r="I23" s="31"/>
      <c r="J23" s="32"/>
      <c r="M23" s="27">
        <v>10</v>
      </c>
      <c r="N23" s="28"/>
      <c r="O23" s="58" t="s">
        <v>9</v>
      </c>
      <c r="P23" s="59"/>
      <c r="Q23" s="7">
        <v>2.9999999999999997E-4</v>
      </c>
      <c r="R23" s="8"/>
      <c r="S23" s="9" t="s">
        <v>6</v>
      </c>
      <c r="T23" s="10"/>
      <c r="U23" s="31"/>
      <c r="V23" s="32"/>
      <c r="Y23" s="27">
        <v>10</v>
      </c>
      <c r="Z23" s="28"/>
      <c r="AA23" s="58" t="s">
        <v>9</v>
      </c>
      <c r="AB23" s="59"/>
      <c r="AC23" s="74">
        <v>1.1000000000000001E-3</v>
      </c>
      <c r="AD23" s="75"/>
      <c r="AE23" s="9" t="s">
        <v>6</v>
      </c>
      <c r="AF23" s="10"/>
      <c r="AG23" s="31"/>
      <c r="AH23" s="32"/>
    </row>
    <row r="24" spans="1:34" x14ac:dyDescent="0.3">
      <c r="A24" s="27">
        <v>10</v>
      </c>
      <c r="B24" s="28"/>
      <c r="C24" s="5" t="s">
        <v>4</v>
      </c>
      <c r="D24" s="6"/>
      <c r="E24" s="7">
        <v>0</v>
      </c>
      <c r="F24" s="8"/>
      <c r="G24" s="9" t="s">
        <v>6</v>
      </c>
      <c r="H24" s="10"/>
      <c r="I24" s="31"/>
      <c r="J24" s="32"/>
      <c r="M24" s="27">
        <v>10</v>
      </c>
      <c r="N24" s="28"/>
      <c r="O24" s="58" t="s">
        <v>9</v>
      </c>
      <c r="P24" s="59"/>
      <c r="Q24" s="7">
        <v>2.0000000000000001E-4</v>
      </c>
      <c r="R24" s="8"/>
      <c r="S24" s="9" t="s">
        <v>6</v>
      </c>
      <c r="T24" s="10"/>
      <c r="U24" s="31"/>
      <c r="V24" s="32"/>
      <c r="Y24" s="27">
        <v>10</v>
      </c>
      <c r="Z24" s="28"/>
      <c r="AA24" s="58" t="s">
        <v>9</v>
      </c>
      <c r="AB24" s="59"/>
      <c r="AC24" s="74">
        <v>6.9999999999999999E-4</v>
      </c>
      <c r="AD24" s="75"/>
      <c r="AE24" s="9" t="s">
        <v>6</v>
      </c>
      <c r="AF24" s="10"/>
      <c r="AG24" s="31"/>
      <c r="AH24" s="32"/>
    </row>
    <row r="25" spans="1:34" x14ac:dyDescent="0.3">
      <c r="A25" s="27">
        <v>10</v>
      </c>
      <c r="B25" s="28"/>
      <c r="C25" s="5" t="s">
        <v>4</v>
      </c>
      <c r="D25" s="6"/>
      <c r="E25" s="7">
        <v>0</v>
      </c>
      <c r="F25" s="8"/>
      <c r="G25" s="9" t="s">
        <v>6</v>
      </c>
      <c r="H25" s="10"/>
      <c r="I25" s="31"/>
      <c r="J25" s="32"/>
      <c r="M25" s="27">
        <v>10</v>
      </c>
      <c r="N25" s="28"/>
      <c r="O25" s="58" t="s">
        <v>9</v>
      </c>
      <c r="P25" s="59"/>
      <c r="Q25" s="7">
        <v>2.0000000000000001E-4</v>
      </c>
      <c r="R25" s="8"/>
      <c r="S25" s="9" t="s">
        <v>6</v>
      </c>
      <c r="T25" s="10"/>
      <c r="U25" s="31"/>
      <c r="V25" s="32"/>
      <c r="Y25" s="27">
        <v>10</v>
      </c>
      <c r="Z25" s="28"/>
      <c r="AA25" s="58" t="s">
        <v>9</v>
      </c>
      <c r="AB25" s="59"/>
      <c r="AC25" s="74">
        <v>1.1999999999999999E-3</v>
      </c>
      <c r="AD25" s="75"/>
      <c r="AE25" s="9" t="s">
        <v>6</v>
      </c>
      <c r="AF25" s="10"/>
      <c r="AG25" s="31"/>
      <c r="AH25" s="32"/>
    </row>
    <row r="26" spans="1:34" ht="15" thickBot="1" x14ac:dyDescent="0.35">
      <c r="A26" s="19">
        <v>10</v>
      </c>
      <c r="B26" s="20"/>
      <c r="C26" s="21" t="s">
        <v>4</v>
      </c>
      <c r="D26" s="22"/>
      <c r="E26" s="23">
        <v>0</v>
      </c>
      <c r="F26" s="24"/>
      <c r="G26" s="25" t="s">
        <v>6</v>
      </c>
      <c r="H26" s="26"/>
      <c r="I26" s="33"/>
      <c r="J26" s="34"/>
      <c r="M26" s="19">
        <v>10</v>
      </c>
      <c r="N26" s="20"/>
      <c r="O26" s="60" t="s">
        <v>9</v>
      </c>
      <c r="P26" s="61"/>
      <c r="Q26" s="7">
        <v>2.0000000000000001E-4</v>
      </c>
      <c r="R26" s="8"/>
      <c r="S26" s="25" t="s">
        <v>6</v>
      </c>
      <c r="T26" s="26"/>
      <c r="U26" s="33"/>
      <c r="V26" s="34"/>
      <c r="Y26" s="19">
        <v>10</v>
      </c>
      <c r="Z26" s="20"/>
      <c r="AA26" s="60" t="s">
        <v>9</v>
      </c>
      <c r="AB26" s="61"/>
      <c r="AC26" s="68">
        <v>8.0000000000000004E-4</v>
      </c>
      <c r="AD26" s="69"/>
      <c r="AE26" s="25" t="s">
        <v>6</v>
      </c>
      <c r="AF26" s="26"/>
      <c r="AG26" s="33"/>
      <c r="AH26" s="34"/>
    </row>
    <row r="27" spans="1:34" ht="15" thickTop="1" x14ac:dyDescent="0.3">
      <c r="A27" s="43">
        <v>100</v>
      </c>
      <c r="B27" s="44"/>
      <c r="C27" s="45" t="s">
        <v>4</v>
      </c>
      <c r="D27" s="46"/>
      <c r="E27" s="15">
        <v>0.20000000300000001</v>
      </c>
      <c r="F27" s="16"/>
      <c r="G27" s="3" t="s">
        <v>6</v>
      </c>
      <c r="H27" s="4"/>
      <c r="I27" s="29">
        <f t="shared" ref="I27" si="9">AVERAGE(E27:F31)</f>
        <v>4.0000000600000002E-2</v>
      </c>
      <c r="J27" s="30"/>
      <c r="M27" s="43">
        <v>100</v>
      </c>
      <c r="N27" s="44"/>
      <c r="O27" s="62" t="s">
        <v>9</v>
      </c>
      <c r="P27" s="63"/>
      <c r="Q27" s="15">
        <v>1.72E-2</v>
      </c>
      <c r="R27" s="16"/>
      <c r="S27" s="3" t="s">
        <v>6</v>
      </c>
      <c r="T27" s="4"/>
      <c r="U27" s="29">
        <f t="shared" ref="U27" si="10">AVERAGE(Q27:R31)</f>
        <v>1.6220000000000002E-2</v>
      </c>
      <c r="V27" s="30"/>
      <c r="Y27" s="43">
        <v>100</v>
      </c>
      <c r="Z27" s="44"/>
      <c r="AA27" s="62" t="s">
        <v>9</v>
      </c>
      <c r="AB27" s="63"/>
      <c r="AC27" s="15">
        <v>6.6600000000000006E-2</v>
      </c>
      <c r="AD27" s="16"/>
      <c r="AE27" s="3" t="s">
        <v>6</v>
      </c>
      <c r="AF27" s="4"/>
      <c r="AG27" s="29">
        <f t="shared" ref="AG27" si="11">AVERAGE(AC27:AD31)</f>
        <v>9.5180000000000001E-2</v>
      </c>
      <c r="AH27" s="30"/>
    </row>
    <row r="28" spans="1:34" x14ac:dyDescent="0.3">
      <c r="A28" s="27">
        <v>100</v>
      </c>
      <c r="B28" s="28"/>
      <c r="C28" s="5" t="s">
        <v>4</v>
      </c>
      <c r="D28" s="6"/>
      <c r="E28" s="7">
        <v>0</v>
      </c>
      <c r="F28" s="8"/>
      <c r="G28" s="9" t="s">
        <v>6</v>
      </c>
      <c r="H28" s="10"/>
      <c r="I28" s="31"/>
      <c r="J28" s="32"/>
      <c r="M28" s="27">
        <v>100</v>
      </c>
      <c r="N28" s="28"/>
      <c r="O28" s="58" t="s">
        <v>9</v>
      </c>
      <c r="P28" s="59"/>
      <c r="Q28" s="7">
        <v>1.8200000000000001E-2</v>
      </c>
      <c r="R28" s="8"/>
      <c r="S28" s="9" t="s">
        <v>6</v>
      </c>
      <c r="T28" s="10"/>
      <c r="U28" s="31"/>
      <c r="V28" s="32"/>
      <c r="Y28" s="27">
        <v>100</v>
      </c>
      <c r="Z28" s="28"/>
      <c r="AA28" s="58" t="s">
        <v>9</v>
      </c>
      <c r="AB28" s="59"/>
      <c r="AC28" s="7">
        <v>7.4399999999999994E-2</v>
      </c>
      <c r="AD28" s="8"/>
      <c r="AE28" s="9" t="s">
        <v>6</v>
      </c>
      <c r="AF28" s="10"/>
      <c r="AG28" s="31"/>
      <c r="AH28" s="32"/>
    </row>
    <row r="29" spans="1:34" x14ac:dyDescent="0.3">
      <c r="A29" s="27">
        <v>100</v>
      </c>
      <c r="B29" s="28"/>
      <c r="C29" s="5" t="s">
        <v>4</v>
      </c>
      <c r="D29" s="6"/>
      <c r="E29" s="7">
        <v>0</v>
      </c>
      <c r="F29" s="8"/>
      <c r="G29" s="9" t="s">
        <v>6</v>
      </c>
      <c r="H29" s="10"/>
      <c r="I29" s="31"/>
      <c r="J29" s="32"/>
      <c r="M29" s="27">
        <v>100</v>
      </c>
      <c r="N29" s="28"/>
      <c r="O29" s="58" t="s">
        <v>9</v>
      </c>
      <c r="P29" s="59"/>
      <c r="Q29" s="7">
        <v>1.67E-2</v>
      </c>
      <c r="R29" s="8"/>
      <c r="S29" s="9" t="s">
        <v>6</v>
      </c>
      <c r="T29" s="10"/>
      <c r="U29" s="31"/>
      <c r="V29" s="32"/>
      <c r="Y29" s="27">
        <v>100</v>
      </c>
      <c r="Z29" s="28"/>
      <c r="AA29" s="58" t="s">
        <v>9</v>
      </c>
      <c r="AB29" s="59"/>
      <c r="AC29" s="7">
        <v>0.11210000000000001</v>
      </c>
      <c r="AD29" s="8"/>
      <c r="AE29" s="9" t="s">
        <v>6</v>
      </c>
      <c r="AF29" s="10"/>
      <c r="AG29" s="31"/>
      <c r="AH29" s="32"/>
    </row>
    <row r="30" spans="1:34" x14ac:dyDescent="0.3">
      <c r="A30" s="27">
        <v>100</v>
      </c>
      <c r="B30" s="28"/>
      <c r="C30" s="5" t="s">
        <v>4</v>
      </c>
      <c r="D30" s="6"/>
      <c r="E30" s="7">
        <v>0</v>
      </c>
      <c r="F30" s="8"/>
      <c r="G30" s="9" t="s">
        <v>6</v>
      </c>
      <c r="H30" s="10"/>
      <c r="I30" s="31"/>
      <c r="J30" s="32"/>
      <c r="M30" s="27">
        <v>100</v>
      </c>
      <c r="N30" s="28"/>
      <c r="O30" s="58" t="s">
        <v>9</v>
      </c>
      <c r="P30" s="59"/>
      <c r="Q30" s="7">
        <v>1.5299999999999999E-2</v>
      </c>
      <c r="R30" s="8"/>
      <c r="S30" s="9" t="s">
        <v>6</v>
      </c>
      <c r="T30" s="10"/>
      <c r="U30" s="31"/>
      <c r="V30" s="32"/>
      <c r="Y30" s="27">
        <v>100</v>
      </c>
      <c r="Z30" s="28"/>
      <c r="AA30" s="58" t="s">
        <v>9</v>
      </c>
      <c r="AB30" s="59"/>
      <c r="AC30" s="7">
        <v>6.4600000000000005E-2</v>
      </c>
      <c r="AD30" s="8"/>
      <c r="AE30" s="9" t="s">
        <v>6</v>
      </c>
      <c r="AF30" s="10"/>
      <c r="AG30" s="31"/>
      <c r="AH30" s="32"/>
    </row>
    <row r="31" spans="1:34" ht="15" thickBot="1" x14ac:dyDescent="0.35">
      <c r="A31" s="19">
        <v>100</v>
      </c>
      <c r="B31" s="20"/>
      <c r="C31" s="21" t="s">
        <v>4</v>
      </c>
      <c r="D31" s="22"/>
      <c r="E31" s="23">
        <v>0</v>
      </c>
      <c r="F31" s="24"/>
      <c r="G31" s="25" t="s">
        <v>6</v>
      </c>
      <c r="H31" s="26"/>
      <c r="I31" s="33"/>
      <c r="J31" s="34"/>
      <c r="M31" s="19">
        <v>100</v>
      </c>
      <c r="N31" s="20"/>
      <c r="O31" s="60" t="s">
        <v>9</v>
      </c>
      <c r="P31" s="61"/>
      <c r="Q31" s="23">
        <v>1.37E-2</v>
      </c>
      <c r="R31" s="24"/>
      <c r="S31" s="25" t="s">
        <v>6</v>
      </c>
      <c r="T31" s="26"/>
      <c r="U31" s="33"/>
      <c r="V31" s="34"/>
      <c r="Y31" s="19">
        <v>100</v>
      </c>
      <c r="Z31" s="20"/>
      <c r="AA31" s="60" t="s">
        <v>9</v>
      </c>
      <c r="AB31" s="61"/>
      <c r="AC31" s="23">
        <v>0.15820000000000001</v>
      </c>
      <c r="AD31" s="24"/>
      <c r="AE31" s="25" t="s">
        <v>6</v>
      </c>
      <c r="AF31" s="26"/>
      <c r="AG31" s="33"/>
      <c r="AH31" s="34"/>
    </row>
    <row r="32" spans="1:34" ht="15" thickTop="1" x14ac:dyDescent="0.3">
      <c r="A32" s="11">
        <v>1000</v>
      </c>
      <c r="B32" s="12"/>
      <c r="C32" s="13" t="s">
        <v>4</v>
      </c>
      <c r="D32" s="14"/>
      <c r="E32" s="15">
        <v>1.299999997</v>
      </c>
      <c r="F32" s="16"/>
      <c r="G32" s="17" t="s">
        <v>6</v>
      </c>
      <c r="H32" s="18"/>
      <c r="I32" s="29">
        <f t="shared" ref="I32" si="12">AVERAGE(E32:F36)</f>
        <v>1.1599999993800001</v>
      </c>
      <c r="J32" s="30"/>
      <c r="M32" s="11">
        <v>1000</v>
      </c>
      <c r="N32" s="12"/>
      <c r="O32" s="62" t="s">
        <v>9</v>
      </c>
      <c r="P32" s="63"/>
      <c r="Q32" s="15">
        <v>1.3202</v>
      </c>
      <c r="R32" s="16"/>
      <c r="S32" s="17" t="s">
        <v>6</v>
      </c>
      <c r="T32" s="18"/>
      <c r="U32" s="29">
        <f t="shared" ref="U32" si="13">AVERAGE(Q32:R36)</f>
        <v>1.3034400000000002</v>
      </c>
      <c r="V32" s="30"/>
      <c r="Y32" s="11">
        <v>1000</v>
      </c>
      <c r="Z32" s="12"/>
      <c r="AA32" s="62" t="s">
        <v>9</v>
      </c>
      <c r="AB32" s="63"/>
      <c r="AC32" s="15">
        <v>6.0288000000000004</v>
      </c>
      <c r="AD32" s="16"/>
      <c r="AE32" s="17" t="s">
        <v>6</v>
      </c>
      <c r="AF32" s="18"/>
      <c r="AG32" s="29">
        <f t="shared" ref="AG32" si="14">AVERAGE(AC32:AD36)</f>
        <v>6.0078250000000004</v>
      </c>
      <c r="AH32" s="30"/>
    </row>
    <row r="33" spans="1:34" x14ac:dyDescent="0.3">
      <c r="A33" s="27">
        <v>1000</v>
      </c>
      <c r="B33" s="28"/>
      <c r="C33" s="5" t="s">
        <v>4</v>
      </c>
      <c r="D33" s="6"/>
      <c r="E33" s="7">
        <v>1.099999994</v>
      </c>
      <c r="F33" s="8"/>
      <c r="G33" s="9" t="s">
        <v>6</v>
      </c>
      <c r="H33" s="10"/>
      <c r="I33" s="31"/>
      <c r="J33" s="32"/>
      <c r="M33" s="27">
        <v>1000</v>
      </c>
      <c r="N33" s="28"/>
      <c r="O33" s="58" t="s">
        <v>9</v>
      </c>
      <c r="P33" s="59"/>
      <c r="Q33" s="7">
        <v>1.2943</v>
      </c>
      <c r="R33" s="8"/>
      <c r="S33" s="9" t="s">
        <v>6</v>
      </c>
      <c r="T33" s="10"/>
      <c r="U33" s="31"/>
      <c r="V33" s="32"/>
      <c r="Y33" s="27">
        <v>1000</v>
      </c>
      <c r="Z33" s="28"/>
      <c r="AA33" s="58" t="s">
        <v>9</v>
      </c>
      <c r="AB33" s="59"/>
      <c r="AC33" s="7" t="s">
        <v>14</v>
      </c>
      <c r="AD33" s="8"/>
      <c r="AE33" s="9" t="s">
        <v>6</v>
      </c>
      <c r="AF33" s="10"/>
      <c r="AG33" s="31"/>
      <c r="AH33" s="32"/>
    </row>
    <row r="34" spans="1:34" x14ac:dyDescent="0.3">
      <c r="A34" s="27">
        <v>1000</v>
      </c>
      <c r="B34" s="28"/>
      <c r="C34" s="5" t="s">
        <v>4</v>
      </c>
      <c r="D34" s="6"/>
      <c r="E34" s="7">
        <v>1.1000000088999999</v>
      </c>
      <c r="F34" s="8"/>
      <c r="G34" s="9" t="s">
        <v>6</v>
      </c>
      <c r="H34" s="10"/>
      <c r="I34" s="31"/>
      <c r="J34" s="32"/>
      <c r="M34" s="27">
        <v>1000</v>
      </c>
      <c r="N34" s="28"/>
      <c r="O34" s="58" t="s">
        <v>9</v>
      </c>
      <c r="P34" s="59"/>
      <c r="Q34" s="7">
        <v>1.2870999999999999</v>
      </c>
      <c r="R34" s="8"/>
      <c r="S34" s="9" t="s">
        <v>6</v>
      </c>
      <c r="T34" s="10"/>
      <c r="U34" s="31"/>
      <c r="V34" s="32"/>
      <c r="Y34" s="27">
        <v>1000</v>
      </c>
      <c r="Z34" s="28"/>
      <c r="AA34" s="58" t="s">
        <v>9</v>
      </c>
      <c r="AB34" s="59"/>
      <c r="AC34" s="7">
        <v>5.8875999999999999</v>
      </c>
      <c r="AD34" s="8"/>
      <c r="AE34" s="9" t="s">
        <v>6</v>
      </c>
      <c r="AF34" s="10"/>
      <c r="AG34" s="31"/>
      <c r="AH34" s="32"/>
    </row>
    <row r="35" spans="1:34" x14ac:dyDescent="0.3">
      <c r="A35" s="27">
        <v>1000</v>
      </c>
      <c r="B35" s="28"/>
      <c r="C35" s="5" t="s">
        <v>4</v>
      </c>
      <c r="D35" s="6"/>
      <c r="E35" s="7">
        <v>1</v>
      </c>
      <c r="F35" s="8"/>
      <c r="G35" s="9" t="s">
        <v>6</v>
      </c>
      <c r="H35" s="10"/>
      <c r="I35" s="31"/>
      <c r="J35" s="32"/>
      <c r="M35" s="27">
        <v>1000</v>
      </c>
      <c r="N35" s="28"/>
      <c r="O35" s="58" t="s">
        <v>9</v>
      </c>
      <c r="P35" s="59"/>
      <c r="Q35" s="7">
        <v>1.2891999999999999</v>
      </c>
      <c r="R35" s="8"/>
      <c r="S35" s="9" t="s">
        <v>6</v>
      </c>
      <c r="T35" s="10"/>
      <c r="U35" s="31"/>
      <c r="V35" s="32"/>
      <c r="Y35" s="27">
        <v>1000</v>
      </c>
      <c r="Z35" s="28"/>
      <c r="AA35" s="58" t="s">
        <v>9</v>
      </c>
      <c r="AB35" s="59"/>
      <c r="AC35" s="7">
        <v>6.2404999999999999</v>
      </c>
      <c r="AD35" s="8"/>
      <c r="AE35" s="9" t="s">
        <v>6</v>
      </c>
      <c r="AF35" s="10"/>
      <c r="AG35" s="31"/>
      <c r="AH35" s="32"/>
    </row>
    <row r="36" spans="1:34" ht="15" thickBot="1" x14ac:dyDescent="0.35">
      <c r="A36" s="19">
        <v>1000</v>
      </c>
      <c r="B36" s="20"/>
      <c r="C36" s="21" t="s">
        <v>4</v>
      </c>
      <c r="D36" s="22"/>
      <c r="E36" s="23">
        <v>1.299999997</v>
      </c>
      <c r="F36" s="24"/>
      <c r="G36" s="25" t="s">
        <v>6</v>
      </c>
      <c r="H36" s="26"/>
      <c r="I36" s="33"/>
      <c r="J36" s="34"/>
      <c r="M36" s="19">
        <v>1000</v>
      </c>
      <c r="N36" s="20"/>
      <c r="O36" s="60" t="s">
        <v>9</v>
      </c>
      <c r="P36" s="61"/>
      <c r="Q36" s="23">
        <v>1.3264</v>
      </c>
      <c r="R36" s="24"/>
      <c r="S36" s="25" t="s">
        <v>6</v>
      </c>
      <c r="T36" s="26"/>
      <c r="U36" s="33"/>
      <c r="V36" s="34"/>
      <c r="Y36" s="19">
        <v>1000</v>
      </c>
      <c r="Z36" s="20"/>
      <c r="AA36" s="60" t="s">
        <v>9</v>
      </c>
      <c r="AB36" s="61"/>
      <c r="AC36" s="70">
        <v>5.8743999999999996</v>
      </c>
      <c r="AD36" s="71"/>
      <c r="AE36" s="25" t="s">
        <v>6</v>
      </c>
      <c r="AF36" s="26"/>
      <c r="AG36" s="33"/>
      <c r="AH36" s="34"/>
    </row>
    <row r="37" spans="1:34" ht="15" thickTop="1" x14ac:dyDescent="0.3">
      <c r="A37" s="11">
        <v>10000</v>
      </c>
      <c r="B37" s="12"/>
      <c r="C37" s="13" t="s">
        <v>4</v>
      </c>
      <c r="D37" s="14"/>
      <c r="E37" s="15">
        <v>62.700000003</v>
      </c>
      <c r="F37" s="16"/>
      <c r="G37" s="17" t="s">
        <v>6</v>
      </c>
      <c r="H37" s="18"/>
      <c r="I37" s="29">
        <f t="shared" ref="I37" si="15">AVERAGE(E37:F41)</f>
        <v>61.280000001179999</v>
      </c>
      <c r="J37" s="30"/>
      <c r="M37" s="11">
        <v>10000</v>
      </c>
      <c r="N37" s="12"/>
      <c r="O37" s="62" t="s">
        <v>9</v>
      </c>
      <c r="P37" s="63"/>
      <c r="Q37" s="15">
        <v>164.97149999999999</v>
      </c>
      <c r="R37" s="16"/>
      <c r="S37" s="17" t="s">
        <v>6</v>
      </c>
      <c r="T37" s="18"/>
      <c r="U37" s="29">
        <f t="shared" ref="U37" si="16">AVERAGE(Q37:R41)</f>
        <v>159.46881999999999</v>
      </c>
      <c r="V37" s="30"/>
      <c r="Y37" s="11">
        <v>10000</v>
      </c>
      <c r="Z37" s="12"/>
      <c r="AA37" s="62" t="s">
        <v>9</v>
      </c>
      <c r="AB37" s="63"/>
      <c r="AC37" s="76">
        <v>718.87699999999995</v>
      </c>
      <c r="AD37" s="77"/>
      <c r="AE37" s="17" t="s">
        <v>6</v>
      </c>
      <c r="AF37" s="18"/>
      <c r="AG37" s="29">
        <f t="shared" ref="AG37" si="17">AVERAGE(AC37:AD41)</f>
        <v>725.36712000000011</v>
      </c>
      <c r="AH37" s="30"/>
    </row>
    <row r="38" spans="1:34" x14ac:dyDescent="0.3">
      <c r="A38" s="27">
        <v>10000</v>
      </c>
      <c r="B38" s="28"/>
      <c r="C38" s="5" t="s">
        <v>4</v>
      </c>
      <c r="D38" s="6"/>
      <c r="E38" s="7">
        <v>64</v>
      </c>
      <c r="F38" s="8"/>
      <c r="G38" s="9" t="s">
        <v>6</v>
      </c>
      <c r="H38" s="10"/>
      <c r="I38" s="31"/>
      <c r="J38" s="32"/>
      <c r="M38" s="27">
        <v>10000</v>
      </c>
      <c r="N38" s="28"/>
      <c r="O38" s="58" t="s">
        <v>9</v>
      </c>
      <c r="P38" s="59"/>
      <c r="Q38" s="7">
        <v>157.29509999999999</v>
      </c>
      <c r="R38" s="8"/>
      <c r="S38" s="9" t="s">
        <v>6</v>
      </c>
      <c r="T38" s="10"/>
      <c r="U38" s="31"/>
      <c r="V38" s="32"/>
      <c r="Y38" s="27">
        <v>10000</v>
      </c>
      <c r="Z38" s="28"/>
      <c r="AA38" s="58" t="s">
        <v>9</v>
      </c>
      <c r="AB38" s="59"/>
      <c r="AC38" s="74">
        <v>745.33680000000004</v>
      </c>
      <c r="AD38" s="75"/>
      <c r="AE38" s="9" t="s">
        <v>6</v>
      </c>
      <c r="AF38" s="10"/>
      <c r="AG38" s="31"/>
      <c r="AH38" s="32"/>
    </row>
    <row r="39" spans="1:34" x14ac:dyDescent="0.3">
      <c r="A39" s="27">
        <v>10000</v>
      </c>
      <c r="B39" s="28"/>
      <c r="C39" s="5" t="s">
        <v>4</v>
      </c>
      <c r="D39" s="6"/>
      <c r="E39" s="7">
        <v>62.100000008899997</v>
      </c>
      <c r="F39" s="8"/>
      <c r="G39" s="9" t="s">
        <v>6</v>
      </c>
      <c r="H39" s="10"/>
      <c r="I39" s="31"/>
      <c r="J39" s="32"/>
      <c r="M39" s="27">
        <v>10000</v>
      </c>
      <c r="N39" s="28"/>
      <c r="O39" s="58" t="s">
        <v>9</v>
      </c>
      <c r="P39" s="59"/>
      <c r="Q39" s="7">
        <v>160.19390000000001</v>
      </c>
      <c r="R39" s="8"/>
      <c r="S39" s="9" t="s">
        <v>6</v>
      </c>
      <c r="T39" s="10"/>
      <c r="U39" s="31"/>
      <c r="V39" s="32"/>
      <c r="Y39" s="27">
        <v>10000</v>
      </c>
      <c r="Z39" s="28"/>
      <c r="AA39" s="58" t="s">
        <v>9</v>
      </c>
      <c r="AB39" s="59"/>
      <c r="AC39" s="74">
        <v>704.24440000000004</v>
      </c>
      <c r="AD39" s="75"/>
      <c r="AE39" s="9" t="s">
        <v>6</v>
      </c>
      <c r="AF39" s="10"/>
      <c r="AG39" s="31"/>
      <c r="AH39" s="32"/>
    </row>
    <row r="40" spans="1:34" x14ac:dyDescent="0.3">
      <c r="A40" s="27">
        <v>10000</v>
      </c>
      <c r="B40" s="28"/>
      <c r="C40" s="5" t="s">
        <v>4</v>
      </c>
      <c r="D40" s="6"/>
      <c r="E40" s="7">
        <v>58.299999997</v>
      </c>
      <c r="F40" s="8"/>
      <c r="G40" s="9" t="s">
        <v>6</v>
      </c>
      <c r="H40" s="10"/>
      <c r="I40" s="31"/>
      <c r="J40" s="32"/>
      <c r="M40" s="27">
        <v>10000</v>
      </c>
      <c r="N40" s="28"/>
      <c r="O40" s="58" t="s">
        <v>9</v>
      </c>
      <c r="P40" s="59"/>
      <c r="Q40" s="7">
        <v>160.04859999999999</v>
      </c>
      <c r="R40" s="8"/>
      <c r="S40" s="9" t="s">
        <v>6</v>
      </c>
      <c r="T40" s="10"/>
      <c r="U40" s="31"/>
      <c r="V40" s="32"/>
      <c r="Y40" s="27">
        <v>10000</v>
      </c>
      <c r="Z40" s="28"/>
      <c r="AA40" s="58" t="s">
        <v>9</v>
      </c>
      <c r="AB40" s="59"/>
      <c r="AC40" s="74">
        <v>702.81140000000005</v>
      </c>
      <c r="AD40" s="75"/>
      <c r="AE40" s="9" t="s">
        <v>6</v>
      </c>
      <c r="AF40" s="10"/>
      <c r="AG40" s="31"/>
      <c r="AH40" s="32"/>
    </row>
    <row r="41" spans="1:34" ht="15" thickBot="1" x14ac:dyDescent="0.35">
      <c r="A41" s="35">
        <v>10000</v>
      </c>
      <c r="B41" s="36"/>
      <c r="C41" s="37" t="s">
        <v>4</v>
      </c>
      <c r="D41" s="38"/>
      <c r="E41" s="39">
        <v>59.299999997</v>
      </c>
      <c r="F41" s="40"/>
      <c r="G41" s="41" t="s">
        <v>6</v>
      </c>
      <c r="H41" s="42"/>
      <c r="I41" s="33"/>
      <c r="J41" s="34"/>
      <c r="M41" s="35">
        <v>10000</v>
      </c>
      <c r="N41" s="36"/>
      <c r="O41" s="64" t="s">
        <v>9</v>
      </c>
      <c r="P41" s="65"/>
      <c r="Q41" s="39">
        <v>154.83500000000001</v>
      </c>
      <c r="R41" s="40"/>
      <c r="S41" s="41" t="s">
        <v>6</v>
      </c>
      <c r="T41" s="42"/>
      <c r="U41" s="33"/>
      <c r="V41" s="34"/>
      <c r="Y41" s="35">
        <v>10000</v>
      </c>
      <c r="Z41" s="36"/>
      <c r="AA41" s="64" t="s">
        <v>9</v>
      </c>
      <c r="AB41" s="65"/>
      <c r="AC41" s="78">
        <v>755.56600000000003</v>
      </c>
      <c r="AD41" s="40"/>
      <c r="AE41" s="41" t="s">
        <v>6</v>
      </c>
      <c r="AF41" s="42"/>
      <c r="AG41" s="33"/>
      <c r="AH41" s="34"/>
    </row>
    <row r="42" spans="1:34" ht="15" thickTop="1" x14ac:dyDescent="0.3">
      <c r="A42" s="43">
        <v>10</v>
      </c>
      <c r="B42" s="44"/>
      <c r="C42" s="45" t="s">
        <v>4</v>
      </c>
      <c r="D42" s="46"/>
      <c r="E42" s="1">
        <v>9.9999993999999995E-2</v>
      </c>
      <c r="F42" s="2"/>
      <c r="G42" s="3" t="s">
        <v>7</v>
      </c>
      <c r="H42" s="4"/>
      <c r="I42" s="29">
        <f t="shared" ref="I42" si="18">AVERAGE(E42:F46)</f>
        <v>1.9999998799999998E-2</v>
      </c>
      <c r="J42" s="30"/>
      <c r="M42" s="43">
        <v>10</v>
      </c>
      <c r="N42" s="44"/>
      <c r="O42" s="66" t="s">
        <v>9</v>
      </c>
      <c r="P42" s="67"/>
      <c r="Q42" s="1">
        <v>8.4099999999999994E-2</v>
      </c>
      <c r="R42" s="2"/>
      <c r="S42" s="3" t="s">
        <v>7</v>
      </c>
      <c r="T42" s="4"/>
      <c r="U42" s="29">
        <f t="shared" ref="U42" si="19">AVERAGE(Q42:R46)</f>
        <v>1.694E-2</v>
      </c>
      <c r="V42" s="30"/>
      <c r="Y42" s="43">
        <v>10</v>
      </c>
      <c r="Z42" s="44"/>
      <c r="AA42" s="66" t="s">
        <v>9</v>
      </c>
      <c r="AB42" s="67"/>
      <c r="AC42" s="1"/>
      <c r="AD42" s="2"/>
      <c r="AE42" s="3" t="s">
        <v>7</v>
      </c>
      <c r="AF42" s="4"/>
      <c r="AG42" s="29">
        <f t="shared" ref="AG42" si="20">AVERAGE(AC42:AD46)</f>
        <v>1.1249999999999999E-3</v>
      </c>
      <c r="AH42" s="30"/>
    </row>
    <row r="43" spans="1:34" x14ac:dyDescent="0.3">
      <c r="A43" s="27">
        <v>10</v>
      </c>
      <c r="B43" s="28"/>
      <c r="C43" s="5" t="s">
        <v>4</v>
      </c>
      <c r="D43" s="6"/>
      <c r="E43" s="7">
        <v>0</v>
      </c>
      <c r="F43" s="8"/>
      <c r="G43" s="9" t="s">
        <v>7</v>
      </c>
      <c r="H43" s="10"/>
      <c r="I43" s="31"/>
      <c r="J43" s="32"/>
      <c r="M43" s="27">
        <v>10</v>
      </c>
      <c r="N43" s="28"/>
      <c r="O43" s="58" t="s">
        <v>9</v>
      </c>
      <c r="P43" s="59"/>
      <c r="Q43" s="7">
        <v>2.9999999999999997E-4</v>
      </c>
      <c r="R43" s="8"/>
      <c r="S43" s="9" t="s">
        <v>7</v>
      </c>
      <c r="T43" s="10"/>
      <c r="U43" s="31"/>
      <c r="V43" s="32"/>
      <c r="Y43" s="27">
        <v>10</v>
      </c>
      <c r="Z43" s="28"/>
      <c r="AA43" s="58" t="s">
        <v>9</v>
      </c>
      <c r="AB43" s="59"/>
      <c r="AC43" s="7">
        <v>1.4E-3</v>
      </c>
      <c r="AD43" s="8"/>
      <c r="AE43" s="9" t="s">
        <v>7</v>
      </c>
      <c r="AF43" s="10"/>
      <c r="AG43" s="31"/>
      <c r="AH43" s="32"/>
    </row>
    <row r="44" spans="1:34" x14ac:dyDescent="0.3">
      <c r="A44" s="27">
        <v>10</v>
      </c>
      <c r="B44" s="28"/>
      <c r="C44" s="5" t="s">
        <v>4</v>
      </c>
      <c r="D44" s="6"/>
      <c r="E44" s="7">
        <v>0</v>
      </c>
      <c r="F44" s="8"/>
      <c r="G44" s="9" t="s">
        <v>7</v>
      </c>
      <c r="H44" s="10"/>
      <c r="I44" s="31"/>
      <c r="J44" s="32"/>
      <c r="M44" s="27">
        <v>10</v>
      </c>
      <c r="N44" s="28"/>
      <c r="O44" s="58" t="s">
        <v>9</v>
      </c>
      <c r="P44" s="59"/>
      <c r="Q44" s="7">
        <v>1E-4</v>
      </c>
      <c r="R44" s="8"/>
      <c r="S44" s="9" t="s">
        <v>7</v>
      </c>
      <c r="T44" s="10"/>
      <c r="U44" s="31"/>
      <c r="V44" s="32"/>
      <c r="Y44" s="27">
        <v>10</v>
      </c>
      <c r="Z44" s="28"/>
      <c r="AA44" s="58" t="s">
        <v>9</v>
      </c>
      <c r="AB44" s="59"/>
      <c r="AC44" s="7">
        <v>1.4E-3</v>
      </c>
      <c r="AD44" s="8"/>
      <c r="AE44" s="9" t="s">
        <v>7</v>
      </c>
      <c r="AF44" s="10"/>
      <c r="AG44" s="31"/>
      <c r="AH44" s="32"/>
    </row>
    <row r="45" spans="1:34" x14ac:dyDescent="0.3">
      <c r="A45" s="27">
        <v>10</v>
      </c>
      <c r="B45" s="28"/>
      <c r="C45" s="5" t="s">
        <v>4</v>
      </c>
      <c r="D45" s="6"/>
      <c r="E45" s="7">
        <v>0</v>
      </c>
      <c r="F45" s="8"/>
      <c r="G45" s="9" t="s">
        <v>7</v>
      </c>
      <c r="H45" s="10"/>
      <c r="I45" s="31"/>
      <c r="J45" s="32"/>
      <c r="M45" s="27">
        <v>10</v>
      </c>
      <c r="N45" s="28"/>
      <c r="O45" s="58" t="s">
        <v>9</v>
      </c>
      <c r="P45" s="59"/>
      <c r="Q45" s="7">
        <v>1E-4</v>
      </c>
      <c r="R45" s="8"/>
      <c r="S45" s="9" t="s">
        <v>7</v>
      </c>
      <c r="T45" s="10"/>
      <c r="U45" s="31"/>
      <c r="V45" s="32"/>
      <c r="Y45" s="27">
        <v>10</v>
      </c>
      <c r="Z45" s="28"/>
      <c r="AA45" s="58" t="s">
        <v>9</v>
      </c>
      <c r="AB45" s="59"/>
      <c r="AC45" s="7">
        <v>1E-3</v>
      </c>
      <c r="AD45" s="8"/>
      <c r="AE45" s="9" t="s">
        <v>7</v>
      </c>
      <c r="AF45" s="10"/>
      <c r="AG45" s="31"/>
      <c r="AH45" s="32"/>
    </row>
    <row r="46" spans="1:34" ht="15" thickBot="1" x14ac:dyDescent="0.35">
      <c r="A46" s="19">
        <v>10</v>
      </c>
      <c r="B46" s="20"/>
      <c r="C46" s="21" t="s">
        <v>4</v>
      </c>
      <c r="D46" s="22"/>
      <c r="E46" s="23">
        <v>0</v>
      </c>
      <c r="F46" s="24"/>
      <c r="G46" s="25" t="s">
        <v>7</v>
      </c>
      <c r="H46" s="26"/>
      <c r="I46" s="33"/>
      <c r="J46" s="34"/>
      <c r="M46" s="19">
        <v>10</v>
      </c>
      <c r="N46" s="20"/>
      <c r="O46" s="60" t="s">
        <v>9</v>
      </c>
      <c r="P46" s="61"/>
      <c r="Q46" s="68">
        <v>1E-4</v>
      </c>
      <c r="R46" s="69"/>
      <c r="S46" s="25" t="s">
        <v>7</v>
      </c>
      <c r="T46" s="26"/>
      <c r="U46" s="33"/>
      <c r="V46" s="34"/>
      <c r="Y46" s="19">
        <v>10</v>
      </c>
      <c r="Z46" s="20"/>
      <c r="AA46" s="60" t="s">
        <v>9</v>
      </c>
      <c r="AB46" s="61"/>
      <c r="AC46" s="23">
        <v>6.9999999999999999E-4</v>
      </c>
      <c r="AD46" s="24"/>
      <c r="AE46" s="25" t="s">
        <v>7</v>
      </c>
      <c r="AF46" s="26"/>
      <c r="AG46" s="33"/>
      <c r="AH46" s="34"/>
    </row>
    <row r="47" spans="1:34" ht="15" thickTop="1" x14ac:dyDescent="0.3">
      <c r="A47" s="43">
        <v>100</v>
      </c>
      <c r="B47" s="44"/>
      <c r="C47" s="45" t="s">
        <v>4</v>
      </c>
      <c r="D47" s="46"/>
      <c r="E47" s="1">
        <v>0</v>
      </c>
      <c r="F47" s="2"/>
      <c r="G47" s="3" t="s">
        <v>7</v>
      </c>
      <c r="H47" s="4"/>
      <c r="I47" s="29">
        <f t="shared" ref="I47" si="21">AVERAGE(E47:F51)</f>
        <v>4.0000000600000002E-2</v>
      </c>
      <c r="J47" s="30"/>
      <c r="M47" s="43">
        <v>100</v>
      </c>
      <c r="N47" s="44"/>
      <c r="O47" s="62" t="s">
        <v>9</v>
      </c>
      <c r="P47" s="63"/>
      <c r="Q47" s="1">
        <v>6.1999999999999998E-3</v>
      </c>
      <c r="R47" s="2"/>
      <c r="S47" s="3" t="s">
        <v>7</v>
      </c>
      <c r="T47" s="4"/>
      <c r="U47" s="29">
        <f t="shared" ref="U47" si="22">AVERAGE(Q47:R51)</f>
        <v>2.8399999999999996E-3</v>
      </c>
      <c r="V47" s="30"/>
      <c r="Y47" s="43">
        <v>100</v>
      </c>
      <c r="Z47" s="44"/>
      <c r="AA47" s="62" t="s">
        <v>9</v>
      </c>
      <c r="AB47" s="63"/>
      <c r="AC47" s="15">
        <v>1.3299999999999999E-2</v>
      </c>
      <c r="AD47" s="16"/>
      <c r="AE47" s="3" t="s">
        <v>7</v>
      </c>
      <c r="AF47" s="4"/>
      <c r="AG47" s="29">
        <f t="shared" ref="AG47" si="23">AVERAGE(AC47:AD51)</f>
        <v>1.2079999999999999E-2</v>
      </c>
      <c r="AH47" s="30"/>
    </row>
    <row r="48" spans="1:34" x14ac:dyDescent="0.3">
      <c r="A48" s="27">
        <v>100</v>
      </c>
      <c r="B48" s="28"/>
      <c r="C48" s="5" t="s">
        <v>4</v>
      </c>
      <c r="D48" s="6"/>
      <c r="E48" s="7">
        <v>0</v>
      </c>
      <c r="F48" s="8"/>
      <c r="G48" s="9" t="s">
        <v>7</v>
      </c>
      <c r="H48" s="10"/>
      <c r="I48" s="31"/>
      <c r="J48" s="32"/>
      <c r="M48" s="27">
        <v>100</v>
      </c>
      <c r="N48" s="28"/>
      <c r="O48" s="58" t="s">
        <v>9</v>
      </c>
      <c r="P48" s="59"/>
      <c r="Q48" s="7">
        <v>2.8E-3</v>
      </c>
      <c r="R48" s="8"/>
      <c r="S48" s="9" t="s">
        <v>7</v>
      </c>
      <c r="T48" s="10"/>
      <c r="U48" s="31"/>
      <c r="V48" s="32"/>
      <c r="Y48" s="27">
        <v>100</v>
      </c>
      <c r="Z48" s="28"/>
      <c r="AA48" s="58" t="s">
        <v>9</v>
      </c>
      <c r="AB48" s="59"/>
      <c r="AC48" s="7">
        <v>8.8000000000000005E-3</v>
      </c>
      <c r="AD48" s="8"/>
      <c r="AE48" s="9" t="s">
        <v>7</v>
      </c>
      <c r="AF48" s="10"/>
      <c r="AG48" s="31"/>
      <c r="AH48" s="32"/>
    </row>
    <row r="49" spans="1:34" x14ac:dyDescent="0.3">
      <c r="A49" s="27">
        <v>100</v>
      </c>
      <c r="B49" s="28"/>
      <c r="C49" s="5" t="s">
        <v>4</v>
      </c>
      <c r="D49" s="6"/>
      <c r="E49" s="7">
        <v>0.20000000300000001</v>
      </c>
      <c r="F49" s="8"/>
      <c r="G49" s="9" t="s">
        <v>7</v>
      </c>
      <c r="H49" s="10"/>
      <c r="I49" s="31"/>
      <c r="J49" s="32"/>
      <c r="M49" s="27">
        <v>100</v>
      </c>
      <c r="N49" s="28"/>
      <c r="O49" s="58" t="s">
        <v>9</v>
      </c>
      <c r="P49" s="59"/>
      <c r="Q49" s="7">
        <v>1.6000000000000001E-3</v>
      </c>
      <c r="R49" s="8"/>
      <c r="S49" s="9" t="s">
        <v>7</v>
      </c>
      <c r="T49" s="10"/>
      <c r="U49" s="31"/>
      <c r="V49" s="32"/>
      <c r="Y49" s="27">
        <v>100</v>
      </c>
      <c r="Z49" s="28"/>
      <c r="AA49" s="58" t="s">
        <v>9</v>
      </c>
      <c r="AB49" s="59"/>
      <c r="AC49" s="7">
        <v>1.2999999999999999E-2</v>
      </c>
      <c r="AD49" s="8"/>
      <c r="AE49" s="9" t="s">
        <v>7</v>
      </c>
      <c r="AF49" s="10"/>
      <c r="AG49" s="31"/>
      <c r="AH49" s="32"/>
    </row>
    <row r="50" spans="1:34" x14ac:dyDescent="0.3">
      <c r="A50" s="27">
        <v>100</v>
      </c>
      <c r="B50" s="28"/>
      <c r="C50" s="5" t="s">
        <v>4</v>
      </c>
      <c r="D50" s="6"/>
      <c r="E50" s="7">
        <v>0</v>
      </c>
      <c r="F50" s="8"/>
      <c r="G50" s="9" t="s">
        <v>7</v>
      </c>
      <c r="H50" s="10"/>
      <c r="I50" s="31"/>
      <c r="J50" s="32"/>
      <c r="M50" s="27">
        <v>100</v>
      </c>
      <c r="N50" s="28"/>
      <c r="O50" s="58" t="s">
        <v>9</v>
      </c>
      <c r="P50" s="59"/>
      <c r="Q50" s="7">
        <v>1.8E-3</v>
      </c>
      <c r="R50" s="8"/>
      <c r="S50" s="9" t="s">
        <v>7</v>
      </c>
      <c r="T50" s="10"/>
      <c r="U50" s="31"/>
      <c r="V50" s="32"/>
      <c r="Y50" s="27">
        <v>100</v>
      </c>
      <c r="Z50" s="28"/>
      <c r="AA50" s="58" t="s">
        <v>9</v>
      </c>
      <c r="AB50" s="59"/>
      <c r="AC50" s="7">
        <v>1.2699999999999999E-2</v>
      </c>
      <c r="AD50" s="8"/>
      <c r="AE50" s="9" t="s">
        <v>7</v>
      </c>
      <c r="AF50" s="10"/>
      <c r="AG50" s="31"/>
      <c r="AH50" s="32"/>
    </row>
    <row r="51" spans="1:34" ht="15" thickBot="1" x14ac:dyDescent="0.35">
      <c r="A51" s="19">
        <v>100</v>
      </c>
      <c r="B51" s="20"/>
      <c r="C51" s="21" t="s">
        <v>4</v>
      </c>
      <c r="D51" s="22"/>
      <c r="E51" s="23">
        <v>0</v>
      </c>
      <c r="F51" s="24"/>
      <c r="G51" s="25" t="s">
        <v>7</v>
      </c>
      <c r="H51" s="26"/>
      <c r="I51" s="33"/>
      <c r="J51" s="34"/>
      <c r="M51" s="19">
        <v>100</v>
      </c>
      <c r="N51" s="20"/>
      <c r="O51" s="60" t="s">
        <v>9</v>
      </c>
      <c r="P51" s="61"/>
      <c r="Q51" s="23">
        <v>1.8E-3</v>
      </c>
      <c r="R51" s="24"/>
      <c r="S51" s="25" t="s">
        <v>7</v>
      </c>
      <c r="T51" s="26"/>
      <c r="U51" s="33"/>
      <c r="V51" s="34"/>
      <c r="Y51" s="19">
        <v>100</v>
      </c>
      <c r="Z51" s="20"/>
      <c r="AA51" s="60" t="s">
        <v>9</v>
      </c>
      <c r="AB51" s="61"/>
      <c r="AC51" s="70">
        <v>1.26E-2</v>
      </c>
      <c r="AD51" s="71"/>
      <c r="AE51" s="25" t="s">
        <v>7</v>
      </c>
      <c r="AF51" s="26"/>
      <c r="AG51" s="33"/>
      <c r="AH51" s="34"/>
    </row>
    <row r="52" spans="1:34" ht="15" thickTop="1" x14ac:dyDescent="0.3">
      <c r="A52" s="11">
        <v>1000</v>
      </c>
      <c r="B52" s="12"/>
      <c r="C52" s="13" t="s">
        <v>4</v>
      </c>
      <c r="D52" s="14"/>
      <c r="E52" s="15">
        <v>9.9999993999999995E-2</v>
      </c>
      <c r="F52" s="16"/>
      <c r="G52" s="17" t="s">
        <v>7</v>
      </c>
      <c r="H52" s="18"/>
      <c r="I52" s="29">
        <f t="shared" ref="I52" si="24">AVERAGE(E52:F56)</f>
        <v>1.9999998799999998E-2</v>
      </c>
      <c r="J52" s="30"/>
      <c r="M52" s="11">
        <v>1000</v>
      </c>
      <c r="N52" s="12"/>
      <c r="O52" s="62" t="s">
        <v>9</v>
      </c>
      <c r="P52" s="63"/>
      <c r="Q52" s="15">
        <v>7.3999999999999996E-2</v>
      </c>
      <c r="R52" s="16"/>
      <c r="S52" s="17" t="s">
        <v>7</v>
      </c>
      <c r="T52" s="18"/>
      <c r="U52" s="29">
        <f t="shared" ref="U52" si="25">AVERAGE(Q52:R56)</f>
        <v>5.9179999999999996E-2</v>
      </c>
      <c r="V52" s="30"/>
      <c r="Y52" s="11">
        <v>1000</v>
      </c>
      <c r="Z52" s="12"/>
      <c r="AA52" s="62" t="s">
        <v>9</v>
      </c>
      <c r="AB52" s="63"/>
      <c r="AC52" s="76">
        <v>0.156</v>
      </c>
      <c r="AD52" s="77"/>
      <c r="AE52" s="17" t="s">
        <v>7</v>
      </c>
      <c r="AF52" s="18"/>
      <c r="AG52" s="29">
        <f t="shared" ref="AG52" si="26">AVERAGE(AC52:AD56)</f>
        <v>0.14198</v>
      </c>
      <c r="AH52" s="30"/>
    </row>
    <row r="53" spans="1:34" x14ac:dyDescent="0.3">
      <c r="A53" s="27">
        <v>1000</v>
      </c>
      <c r="B53" s="28"/>
      <c r="C53" s="5" t="s">
        <v>4</v>
      </c>
      <c r="D53" s="6"/>
      <c r="E53" s="7">
        <v>0</v>
      </c>
      <c r="F53" s="8"/>
      <c r="G53" s="9" t="s">
        <v>7</v>
      </c>
      <c r="H53" s="10"/>
      <c r="I53" s="31"/>
      <c r="J53" s="32"/>
      <c r="M53" s="27">
        <v>1000</v>
      </c>
      <c r="N53" s="28"/>
      <c r="O53" s="58" t="s">
        <v>9</v>
      </c>
      <c r="P53" s="59"/>
      <c r="Q53" s="7">
        <v>6.4699999999999994E-2</v>
      </c>
      <c r="R53" s="8"/>
      <c r="S53" s="9" t="s">
        <v>7</v>
      </c>
      <c r="T53" s="10"/>
      <c r="U53" s="31"/>
      <c r="V53" s="32"/>
      <c r="Y53" s="27">
        <v>1000</v>
      </c>
      <c r="Z53" s="28"/>
      <c r="AA53" s="58" t="s">
        <v>9</v>
      </c>
      <c r="AB53" s="59"/>
      <c r="AC53" s="74">
        <v>0.14499999999999999</v>
      </c>
      <c r="AD53" s="75"/>
      <c r="AE53" s="9" t="s">
        <v>7</v>
      </c>
      <c r="AF53" s="10"/>
      <c r="AG53" s="31"/>
      <c r="AH53" s="32"/>
    </row>
    <row r="54" spans="1:34" x14ac:dyDescent="0.3">
      <c r="A54" s="27">
        <v>1000</v>
      </c>
      <c r="B54" s="28"/>
      <c r="C54" s="5" t="s">
        <v>4</v>
      </c>
      <c r="D54" s="6"/>
      <c r="E54" s="7">
        <v>0</v>
      </c>
      <c r="F54" s="8"/>
      <c r="G54" s="9" t="s">
        <v>7</v>
      </c>
      <c r="H54" s="10"/>
      <c r="I54" s="31"/>
      <c r="J54" s="32"/>
      <c r="M54" s="27">
        <v>1000</v>
      </c>
      <c r="N54" s="28"/>
      <c r="O54" s="58" t="s">
        <v>9</v>
      </c>
      <c r="P54" s="59"/>
      <c r="Q54" s="7">
        <v>5.8799999999999998E-2</v>
      </c>
      <c r="R54" s="8"/>
      <c r="S54" s="9" t="s">
        <v>7</v>
      </c>
      <c r="T54" s="10"/>
      <c r="U54" s="31"/>
      <c r="V54" s="32"/>
      <c r="Y54" s="27">
        <v>1000</v>
      </c>
      <c r="Z54" s="28"/>
      <c r="AA54" s="58" t="s">
        <v>9</v>
      </c>
      <c r="AB54" s="59"/>
      <c r="AC54" s="74">
        <v>0.1396</v>
      </c>
      <c r="AD54" s="75"/>
      <c r="AE54" s="9" t="s">
        <v>7</v>
      </c>
      <c r="AF54" s="10"/>
      <c r="AG54" s="31"/>
      <c r="AH54" s="32"/>
    </row>
    <row r="55" spans="1:34" x14ac:dyDescent="0.3">
      <c r="A55" s="27">
        <v>1000</v>
      </c>
      <c r="B55" s="28"/>
      <c r="C55" s="5" t="s">
        <v>4</v>
      </c>
      <c r="D55" s="6"/>
      <c r="E55" s="7">
        <v>0</v>
      </c>
      <c r="F55" s="8"/>
      <c r="G55" s="9" t="s">
        <v>7</v>
      </c>
      <c r="H55" s="10"/>
      <c r="I55" s="31"/>
      <c r="J55" s="32"/>
      <c r="M55" s="27">
        <v>1000</v>
      </c>
      <c r="N55" s="28"/>
      <c r="O55" s="58" t="s">
        <v>9</v>
      </c>
      <c r="P55" s="59"/>
      <c r="Q55" s="7">
        <v>5.0900000000000001E-2</v>
      </c>
      <c r="R55" s="8"/>
      <c r="S55" s="9" t="s">
        <v>7</v>
      </c>
      <c r="T55" s="10"/>
      <c r="U55" s="31"/>
      <c r="V55" s="32"/>
      <c r="Y55" s="27">
        <v>1000</v>
      </c>
      <c r="Z55" s="28"/>
      <c r="AA55" s="58" t="s">
        <v>9</v>
      </c>
      <c r="AB55" s="59"/>
      <c r="AC55" s="74">
        <v>0.13500000000000001</v>
      </c>
      <c r="AD55" s="75"/>
      <c r="AE55" s="9" t="s">
        <v>7</v>
      </c>
      <c r="AF55" s="10"/>
      <c r="AG55" s="31"/>
      <c r="AH55" s="32"/>
    </row>
    <row r="56" spans="1:34" ht="15" thickBot="1" x14ac:dyDescent="0.35">
      <c r="A56" s="19">
        <v>1000</v>
      </c>
      <c r="B56" s="20"/>
      <c r="C56" s="21" t="s">
        <v>4</v>
      </c>
      <c r="D56" s="22"/>
      <c r="E56" s="23">
        <v>0</v>
      </c>
      <c r="F56" s="24"/>
      <c r="G56" s="25" t="s">
        <v>7</v>
      </c>
      <c r="H56" s="26"/>
      <c r="I56" s="33"/>
      <c r="J56" s="34"/>
      <c r="M56" s="19">
        <v>1000</v>
      </c>
      <c r="N56" s="20"/>
      <c r="O56" s="60" t="s">
        <v>9</v>
      </c>
      <c r="P56" s="61"/>
      <c r="Q56" s="23">
        <v>4.7500000000000001E-2</v>
      </c>
      <c r="R56" s="24"/>
      <c r="S56" s="25" t="s">
        <v>7</v>
      </c>
      <c r="T56" s="26"/>
      <c r="U56" s="33"/>
      <c r="V56" s="34"/>
      <c r="Y56" s="19">
        <v>1000</v>
      </c>
      <c r="Z56" s="20"/>
      <c r="AA56" s="60" t="s">
        <v>9</v>
      </c>
      <c r="AB56" s="61"/>
      <c r="AC56" s="68">
        <v>0.1343</v>
      </c>
      <c r="AD56" s="69"/>
      <c r="AE56" s="25" t="s">
        <v>7</v>
      </c>
      <c r="AF56" s="26"/>
      <c r="AG56" s="33"/>
      <c r="AH56" s="34"/>
    </row>
    <row r="57" spans="1:34" ht="15" thickTop="1" x14ac:dyDescent="0.3">
      <c r="A57" s="11">
        <v>10000</v>
      </c>
      <c r="B57" s="12"/>
      <c r="C57" s="13" t="s">
        <v>4</v>
      </c>
      <c r="D57" s="14"/>
      <c r="E57" s="15">
        <v>0.59999999400000004</v>
      </c>
      <c r="F57" s="16"/>
      <c r="G57" s="17" t="s">
        <v>7</v>
      </c>
      <c r="H57" s="18"/>
      <c r="I57" s="29">
        <f t="shared" ref="I57" si="27">AVERAGE(E57:F61)</f>
        <v>0.24000000057999998</v>
      </c>
      <c r="J57" s="30"/>
      <c r="M57" s="11">
        <v>10000</v>
      </c>
      <c r="N57" s="12"/>
      <c r="O57" s="62" t="s">
        <v>9</v>
      </c>
      <c r="P57" s="63"/>
      <c r="Q57" s="15">
        <v>0.98750000000000004</v>
      </c>
      <c r="R57" s="16"/>
      <c r="S57" s="17" t="s">
        <v>7</v>
      </c>
      <c r="T57" s="18"/>
      <c r="U57" s="29">
        <f t="shared" ref="U57" si="28">AVERAGE(Q57:R61)</f>
        <v>0.85595999999999994</v>
      </c>
      <c r="V57" s="30"/>
      <c r="Y57" s="11">
        <v>10000</v>
      </c>
      <c r="Z57" s="12"/>
      <c r="AA57" s="62" t="s">
        <v>9</v>
      </c>
      <c r="AB57" s="63"/>
      <c r="AC57" s="1">
        <v>2.3424</v>
      </c>
      <c r="AD57" s="2"/>
      <c r="AE57" s="17" t="s">
        <v>7</v>
      </c>
      <c r="AF57" s="18"/>
      <c r="AG57" s="29">
        <f t="shared" ref="AG57" si="29">AVERAGE(AC57:AD61)</f>
        <v>2.4767399999999999</v>
      </c>
      <c r="AH57" s="30"/>
    </row>
    <row r="58" spans="1:34" x14ac:dyDescent="0.3">
      <c r="A58" s="27">
        <v>10000</v>
      </c>
      <c r="B58" s="28"/>
      <c r="C58" s="5" t="s">
        <v>4</v>
      </c>
      <c r="D58" s="6"/>
      <c r="E58" s="7">
        <v>0.20000000300000001</v>
      </c>
      <c r="F58" s="8"/>
      <c r="G58" s="9" t="s">
        <v>7</v>
      </c>
      <c r="H58" s="10"/>
      <c r="I58" s="31"/>
      <c r="J58" s="32"/>
      <c r="M58" s="27">
        <v>10000</v>
      </c>
      <c r="N58" s="28"/>
      <c r="O58" s="58" t="s">
        <v>9</v>
      </c>
      <c r="P58" s="59"/>
      <c r="Q58" s="7">
        <v>0.79630000000000001</v>
      </c>
      <c r="R58" s="8"/>
      <c r="S58" s="9" t="s">
        <v>7</v>
      </c>
      <c r="T58" s="10"/>
      <c r="U58" s="31"/>
      <c r="V58" s="32"/>
      <c r="Y58" s="27">
        <v>10000</v>
      </c>
      <c r="Z58" s="28"/>
      <c r="AA58" s="58" t="s">
        <v>9</v>
      </c>
      <c r="AB58" s="59"/>
      <c r="AC58" s="7">
        <v>2.379</v>
      </c>
      <c r="AD58" s="8"/>
      <c r="AE58" s="9" t="s">
        <v>7</v>
      </c>
      <c r="AF58" s="10"/>
      <c r="AG58" s="31"/>
      <c r="AH58" s="32"/>
    </row>
    <row r="59" spans="1:34" x14ac:dyDescent="0.3">
      <c r="A59" s="27">
        <v>10000</v>
      </c>
      <c r="B59" s="28"/>
      <c r="C59" s="5" t="s">
        <v>4</v>
      </c>
      <c r="D59" s="6"/>
      <c r="E59" s="7">
        <v>9.9999993999999995E-2</v>
      </c>
      <c r="F59" s="8"/>
      <c r="G59" s="9" t="s">
        <v>7</v>
      </c>
      <c r="H59" s="10"/>
      <c r="I59" s="31"/>
      <c r="J59" s="32"/>
      <c r="M59" s="27">
        <v>10000</v>
      </c>
      <c r="N59" s="28"/>
      <c r="O59" s="58" t="s">
        <v>9</v>
      </c>
      <c r="P59" s="59"/>
      <c r="Q59" s="7">
        <v>0.8085</v>
      </c>
      <c r="R59" s="8"/>
      <c r="S59" s="9" t="s">
        <v>7</v>
      </c>
      <c r="T59" s="10"/>
      <c r="U59" s="31"/>
      <c r="V59" s="32"/>
      <c r="Y59" s="27">
        <v>10000</v>
      </c>
      <c r="Z59" s="28"/>
      <c r="AA59" s="58" t="s">
        <v>9</v>
      </c>
      <c r="AB59" s="59"/>
      <c r="AC59" s="7">
        <v>2.4291999999999998</v>
      </c>
      <c r="AD59" s="8"/>
      <c r="AE59" s="9" t="s">
        <v>7</v>
      </c>
      <c r="AF59" s="10"/>
      <c r="AG59" s="31"/>
      <c r="AH59" s="32"/>
    </row>
    <row r="60" spans="1:34" x14ac:dyDescent="0.3">
      <c r="A60" s="27">
        <v>10000</v>
      </c>
      <c r="B60" s="28"/>
      <c r="C60" s="5" t="s">
        <v>4</v>
      </c>
      <c r="D60" s="6"/>
      <c r="E60" s="7">
        <v>0.20000000300000001</v>
      </c>
      <c r="F60" s="8"/>
      <c r="G60" s="9" t="s">
        <v>7</v>
      </c>
      <c r="H60" s="10"/>
      <c r="I60" s="31"/>
      <c r="J60" s="32"/>
      <c r="M60" s="27">
        <v>10000</v>
      </c>
      <c r="N60" s="28"/>
      <c r="O60" s="58" t="s">
        <v>9</v>
      </c>
      <c r="P60" s="59"/>
      <c r="Q60" s="7">
        <v>0.82310000000000005</v>
      </c>
      <c r="R60" s="8"/>
      <c r="S60" s="9" t="s">
        <v>7</v>
      </c>
      <c r="T60" s="10"/>
      <c r="U60" s="31"/>
      <c r="V60" s="32"/>
      <c r="Y60" s="27">
        <v>10000</v>
      </c>
      <c r="Z60" s="28"/>
      <c r="AA60" s="58" t="s">
        <v>9</v>
      </c>
      <c r="AB60" s="59"/>
      <c r="AC60" s="7">
        <v>2.6292</v>
      </c>
      <c r="AD60" s="8"/>
      <c r="AE60" s="9" t="s">
        <v>7</v>
      </c>
      <c r="AF60" s="10"/>
      <c r="AG60" s="31"/>
      <c r="AH60" s="32"/>
    </row>
    <row r="61" spans="1:34" ht="15" thickBot="1" x14ac:dyDescent="0.35">
      <c r="A61" s="35">
        <v>10000</v>
      </c>
      <c r="B61" s="36"/>
      <c r="C61" s="37" t="s">
        <v>4</v>
      </c>
      <c r="D61" s="38"/>
      <c r="E61" s="39">
        <v>0.10000000890000001</v>
      </c>
      <c r="F61" s="40"/>
      <c r="G61" s="41" t="s">
        <v>7</v>
      </c>
      <c r="H61" s="42"/>
      <c r="I61" s="33"/>
      <c r="J61" s="34"/>
      <c r="M61" s="35">
        <v>10000</v>
      </c>
      <c r="N61" s="36"/>
      <c r="O61" s="64" t="s">
        <v>9</v>
      </c>
      <c r="P61" s="65"/>
      <c r="Q61" s="39">
        <v>0.86439999999999995</v>
      </c>
      <c r="R61" s="40"/>
      <c r="S61" s="41" t="s">
        <v>7</v>
      </c>
      <c r="T61" s="42"/>
      <c r="U61" s="33"/>
      <c r="V61" s="34"/>
      <c r="Y61" s="35">
        <v>10000</v>
      </c>
      <c r="Z61" s="36"/>
      <c r="AA61" s="64" t="s">
        <v>9</v>
      </c>
      <c r="AB61" s="65"/>
      <c r="AC61" s="70">
        <v>2.6038999999999999</v>
      </c>
      <c r="AD61" s="79"/>
      <c r="AE61" s="41" t="s">
        <v>7</v>
      </c>
      <c r="AF61" s="42"/>
      <c r="AG61" s="33"/>
      <c r="AH61" s="34"/>
    </row>
    <row r="62" spans="1:34" ht="15" thickTop="1" x14ac:dyDescent="0.3">
      <c r="A62" s="43">
        <v>10</v>
      </c>
      <c r="B62" s="44"/>
      <c r="C62" s="45" t="s">
        <v>4</v>
      </c>
      <c r="D62" s="46"/>
      <c r="E62" s="1">
        <v>0</v>
      </c>
      <c r="F62" s="2"/>
      <c r="G62" s="3" t="s">
        <v>8</v>
      </c>
      <c r="H62" s="4"/>
      <c r="I62" s="29">
        <f t="shared" ref="I62" si="30">AVERAGE(E62:F66)</f>
        <v>0</v>
      </c>
      <c r="J62" s="30"/>
      <c r="M62" s="43">
        <v>10</v>
      </c>
      <c r="N62" s="44"/>
      <c r="O62" s="66" t="s">
        <v>9</v>
      </c>
      <c r="P62" s="67"/>
      <c r="Q62" s="1">
        <v>4.0000000000000002E-4</v>
      </c>
      <c r="R62" s="2"/>
      <c r="S62" s="3" t="s">
        <v>8</v>
      </c>
      <c r="T62" s="4"/>
      <c r="U62" s="29">
        <f t="shared" ref="U62" si="31">AVERAGE(Q62:R66)</f>
        <v>1.8000000000000004E-4</v>
      </c>
      <c r="V62" s="30"/>
      <c r="Y62" s="43">
        <v>10</v>
      </c>
      <c r="Z62" s="44"/>
      <c r="AA62" s="66" t="s">
        <v>9</v>
      </c>
      <c r="AB62" s="67"/>
      <c r="AC62" s="72">
        <v>8.9999999999999998E-4</v>
      </c>
      <c r="AD62" s="73"/>
      <c r="AE62" s="3" t="s">
        <v>8</v>
      </c>
      <c r="AF62" s="4"/>
      <c r="AG62" s="29">
        <f t="shared" ref="AG62" si="32">AVERAGE(AC62:AD66)</f>
        <v>6.2E-4</v>
      </c>
      <c r="AH62" s="30"/>
    </row>
    <row r="63" spans="1:34" x14ac:dyDescent="0.3">
      <c r="A63" s="27">
        <v>10</v>
      </c>
      <c r="B63" s="28"/>
      <c r="C63" s="5" t="s">
        <v>4</v>
      </c>
      <c r="D63" s="6"/>
      <c r="E63" s="7">
        <v>0</v>
      </c>
      <c r="F63" s="8"/>
      <c r="G63" s="9" t="s">
        <v>8</v>
      </c>
      <c r="H63" s="10"/>
      <c r="I63" s="31"/>
      <c r="J63" s="32"/>
      <c r="M63" s="27">
        <v>10</v>
      </c>
      <c r="N63" s="28"/>
      <c r="O63" s="58" t="s">
        <v>9</v>
      </c>
      <c r="P63" s="59"/>
      <c r="Q63" s="7">
        <v>2.0000000000000001E-4</v>
      </c>
      <c r="R63" s="8"/>
      <c r="S63" s="9" t="s">
        <v>8</v>
      </c>
      <c r="T63" s="10"/>
      <c r="U63" s="31"/>
      <c r="V63" s="32"/>
      <c r="Y63" s="27">
        <v>10</v>
      </c>
      <c r="Z63" s="28"/>
      <c r="AA63" s="58" t="s">
        <v>9</v>
      </c>
      <c r="AB63" s="59"/>
      <c r="AC63" s="74">
        <v>6.9999999999999999E-4</v>
      </c>
      <c r="AD63" s="75"/>
      <c r="AE63" s="9" t="s">
        <v>8</v>
      </c>
      <c r="AF63" s="10"/>
      <c r="AG63" s="31"/>
      <c r="AH63" s="32"/>
    </row>
    <row r="64" spans="1:34" x14ac:dyDescent="0.3">
      <c r="A64" s="27">
        <v>10</v>
      </c>
      <c r="B64" s="28"/>
      <c r="C64" s="5" t="s">
        <v>4</v>
      </c>
      <c r="D64" s="6"/>
      <c r="E64" s="7">
        <v>0</v>
      </c>
      <c r="F64" s="8"/>
      <c r="G64" s="9" t="s">
        <v>8</v>
      </c>
      <c r="H64" s="10"/>
      <c r="I64" s="31"/>
      <c r="J64" s="32"/>
      <c r="M64" s="27">
        <v>10</v>
      </c>
      <c r="N64" s="28"/>
      <c r="O64" s="58" t="s">
        <v>9</v>
      </c>
      <c r="P64" s="59"/>
      <c r="Q64" s="7">
        <v>1E-4</v>
      </c>
      <c r="R64" s="8"/>
      <c r="S64" s="9" t="s">
        <v>8</v>
      </c>
      <c r="T64" s="10"/>
      <c r="U64" s="31"/>
      <c r="V64" s="32"/>
      <c r="Y64" s="27">
        <v>10</v>
      </c>
      <c r="Z64" s="28"/>
      <c r="AA64" s="58" t="s">
        <v>9</v>
      </c>
      <c r="AB64" s="59"/>
      <c r="AC64" s="74">
        <v>5.0000000000000001E-4</v>
      </c>
      <c r="AD64" s="75"/>
      <c r="AE64" s="9" t="s">
        <v>8</v>
      </c>
      <c r="AF64" s="10"/>
      <c r="AG64" s="31"/>
      <c r="AH64" s="32"/>
    </row>
    <row r="65" spans="1:34" x14ac:dyDescent="0.3">
      <c r="A65" s="27">
        <v>10</v>
      </c>
      <c r="B65" s="28"/>
      <c r="C65" s="5" t="s">
        <v>4</v>
      </c>
      <c r="D65" s="6"/>
      <c r="E65" s="7">
        <v>0</v>
      </c>
      <c r="F65" s="8"/>
      <c r="G65" s="9" t="s">
        <v>8</v>
      </c>
      <c r="H65" s="10"/>
      <c r="I65" s="31"/>
      <c r="J65" s="32"/>
      <c r="M65" s="27">
        <v>10</v>
      </c>
      <c r="N65" s="28"/>
      <c r="O65" s="58" t="s">
        <v>9</v>
      </c>
      <c r="P65" s="59"/>
      <c r="Q65" s="7">
        <v>1E-4</v>
      </c>
      <c r="R65" s="8"/>
      <c r="S65" s="9" t="s">
        <v>8</v>
      </c>
      <c r="T65" s="10"/>
      <c r="U65" s="31"/>
      <c r="V65" s="32"/>
      <c r="Y65" s="27">
        <v>10</v>
      </c>
      <c r="Z65" s="28"/>
      <c r="AA65" s="58" t="s">
        <v>9</v>
      </c>
      <c r="AB65" s="59"/>
      <c r="AC65" s="74">
        <v>5.0000000000000001E-4</v>
      </c>
      <c r="AD65" s="75"/>
      <c r="AE65" s="9" t="s">
        <v>8</v>
      </c>
      <c r="AF65" s="10"/>
      <c r="AG65" s="31"/>
      <c r="AH65" s="32"/>
    </row>
    <row r="66" spans="1:34" ht="15" thickBot="1" x14ac:dyDescent="0.35">
      <c r="A66" s="19">
        <v>10</v>
      </c>
      <c r="B66" s="20"/>
      <c r="C66" s="21" t="s">
        <v>4</v>
      </c>
      <c r="D66" s="22"/>
      <c r="E66" s="23">
        <v>0</v>
      </c>
      <c r="F66" s="24"/>
      <c r="G66" s="25" t="s">
        <v>8</v>
      </c>
      <c r="H66" s="26"/>
      <c r="I66" s="33"/>
      <c r="J66" s="34"/>
      <c r="M66" s="19">
        <v>10</v>
      </c>
      <c r="N66" s="20"/>
      <c r="O66" s="60" t="s">
        <v>9</v>
      </c>
      <c r="P66" s="61"/>
      <c r="Q66" s="68">
        <v>1E-4</v>
      </c>
      <c r="R66" s="69"/>
      <c r="S66" s="25" t="s">
        <v>8</v>
      </c>
      <c r="T66" s="26"/>
      <c r="U66" s="33"/>
      <c r="V66" s="34"/>
      <c r="Y66" s="19">
        <v>10</v>
      </c>
      <c r="Z66" s="20"/>
      <c r="AA66" s="60" t="s">
        <v>9</v>
      </c>
      <c r="AB66" s="61"/>
      <c r="AC66" s="68">
        <v>5.0000000000000001E-4</v>
      </c>
      <c r="AD66" s="69"/>
      <c r="AE66" s="25" t="s">
        <v>8</v>
      </c>
      <c r="AF66" s="26"/>
      <c r="AG66" s="33"/>
      <c r="AH66" s="34"/>
    </row>
    <row r="67" spans="1:34" ht="15" thickTop="1" x14ac:dyDescent="0.3">
      <c r="A67" s="43">
        <v>100</v>
      </c>
      <c r="B67" s="44"/>
      <c r="C67" s="45" t="s">
        <v>4</v>
      </c>
      <c r="D67" s="46"/>
      <c r="E67" s="1">
        <v>0.1000000238</v>
      </c>
      <c r="F67" s="2"/>
      <c r="G67" s="3" t="s">
        <v>8</v>
      </c>
      <c r="H67" s="4"/>
      <c r="I67" s="29">
        <f t="shared" ref="I67" si="33">AVERAGE(E67:F71)</f>
        <v>2.0000004760000002E-2</v>
      </c>
      <c r="J67" s="30"/>
      <c r="M67" s="43">
        <v>100</v>
      </c>
      <c r="N67" s="44"/>
      <c r="O67" s="62" t="s">
        <v>9</v>
      </c>
      <c r="P67" s="63"/>
      <c r="Q67" s="1">
        <v>5.3E-3</v>
      </c>
      <c r="R67" s="2"/>
      <c r="S67" s="3" t="s">
        <v>8</v>
      </c>
      <c r="T67" s="4"/>
      <c r="U67" s="29">
        <f t="shared" ref="U67" si="34">AVERAGE(Q67:R71)</f>
        <v>5.1599999999999997E-3</v>
      </c>
      <c r="V67" s="30"/>
      <c r="Y67" s="43">
        <v>100</v>
      </c>
      <c r="Z67" s="44"/>
      <c r="AA67" s="62" t="s">
        <v>9</v>
      </c>
      <c r="AB67" s="63"/>
      <c r="AC67" s="1">
        <v>2.7E-2</v>
      </c>
      <c r="AD67" s="2"/>
      <c r="AE67" s="3" t="s">
        <v>8</v>
      </c>
      <c r="AF67" s="4"/>
      <c r="AG67" s="29">
        <f t="shared" ref="AG67" si="35">AVERAGE(AC67:AD71)</f>
        <v>2.6799999999999997E-2</v>
      </c>
      <c r="AH67" s="30"/>
    </row>
    <row r="68" spans="1:34" x14ac:dyDescent="0.3">
      <c r="A68" s="27">
        <v>100</v>
      </c>
      <c r="B68" s="28"/>
      <c r="C68" s="5" t="s">
        <v>4</v>
      </c>
      <c r="D68" s="6"/>
      <c r="E68" s="7">
        <v>0</v>
      </c>
      <c r="F68" s="8"/>
      <c r="G68" s="9" t="s">
        <v>8</v>
      </c>
      <c r="H68" s="10"/>
      <c r="I68" s="31"/>
      <c r="J68" s="32"/>
      <c r="M68" s="27">
        <v>100</v>
      </c>
      <c r="N68" s="28"/>
      <c r="O68" s="58" t="s">
        <v>9</v>
      </c>
      <c r="P68" s="59"/>
      <c r="Q68" s="7">
        <v>5.1000000000000004E-3</v>
      </c>
      <c r="R68" s="8"/>
      <c r="S68" s="9" t="s">
        <v>8</v>
      </c>
      <c r="T68" s="10"/>
      <c r="U68" s="31"/>
      <c r="V68" s="32"/>
      <c r="Y68" s="27">
        <v>100</v>
      </c>
      <c r="Z68" s="28"/>
      <c r="AA68" s="58" t="s">
        <v>9</v>
      </c>
      <c r="AB68" s="59"/>
      <c r="AC68" s="7">
        <v>2.7099999999999999E-2</v>
      </c>
      <c r="AD68" s="8"/>
      <c r="AE68" s="9" t="s">
        <v>8</v>
      </c>
      <c r="AF68" s="10"/>
      <c r="AG68" s="31"/>
      <c r="AH68" s="32"/>
    </row>
    <row r="69" spans="1:34" x14ac:dyDescent="0.3">
      <c r="A69" s="27">
        <v>100</v>
      </c>
      <c r="B69" s="28"/>
      <c r="C69" s="5" t="s">
        <v>4</v>
      </c>
      <c r="D69" s="6"/>
      <c r="E69" s="7">
        <v>0</v>
      </c>
      <c r="F69" s="8"/>
      <c r="G69" s="9" t="s">
        <v>8</v>
      </c>
      <c r="H69" s="10"/>
      <c r="I69" s="31"/>
      <c r="J69" s="32"/>
      <c r="M69" s="27">
        <v>100</v>
      </c>
      <c r="N69" s="28"/>
      <c r="O69" s="58" t="s">
        <v>9</v>
      </c>
      <c r="P69" s="59"/>
      <c r="Q69" s="7">
        <v>5.0000000000000001E-3</v>
      </c>
      <c r="R69" s="8"/>
      <c r="S69" s="9" t="s">
        <v>8</v>
      </c>
      <c r="T69" s="10"/>
      <c r="U69" s="31"/>
      <c r="V69" s="32"/>
      <c r="Y69" s="27">
        <v>100</v>
      </c>
      <c r="Z69" s="28"/>
      <c r="AA69" s="58" t="s">
        <v>9</v>
      </c>
      <c r="AB69" s="59"/>
      <c r="AC69" s="7">
        <v>2.7099999999999999E-2</v>
      </c>
      <c r="AD69" s="8"/>
      <c r="AE69" s="9" t="s">
        <v>8</v>
      </c>
      <c r="AF69" s="10"/>
      <c r="AG69" s="31"/>
      <c r="AH69" s="32"/>
    </row>
    <row r="70" spans="1:34" x14ac:dyDescent="0.3">
      <c r="A70" s="27">
        <v>100</v>
      </c>
      <c r="B70" s="28"/>
      <c r="C70" s="5" t="s">
        <v>4</v>
      </c>
      <c r="D70" s="6"/>
      <c r="E70" s="7">
        <v>0</v>
      </c>
      <c r="F70" s="8"/>
      <c r="G70" s="9" t="s">
        <v>8</v>
      </c>
      <c r="H70" s="10"/>
      <c r="I70" s="31"/>
      <c r="J70" s="32"/>
      <c r="M70" s="27">
        <v>100</v>
      </c>
      <c r="N70" s="28"/>
      <c r="O70" s="58" t="s">
        <v>9</v>
      </c>
      <c r="P70" s="59"/>
      <c r="Q70" s="7">
        <v>5.3E-3</v>
      </c>
      <c r="R70" s="8"/>
      <c r="S70" s="9" t="s">
        <v>8</v>
      </c>
      <c r="T70" s="10"/>
      <c r="U70" s="31"/>
      <c r="V70" s="32"/>
      <c r="Y70" s="27">
        <v>100</v>
      </c>
      <c r="Z70" s="28"/>
      <c r="AA70" s="58" t="s">
        <v>9</v>
      </c>
      <c r="AB70" s="59"/>
      <c r="AC70" s="7">
        <v>2.6499999999999999E-2</v>
      </c>
      <c r="AD70" s="8"/>
      <c r="AE70" s="9" t="s">
        <v>8</v>
      </c>
      <c r="AF70" s="10"/>
      <c r="AG70" s="31"/>
      <c r="AH70" s="32"/>
    </row>
    <row r="71" spans="1:34" ht="15" thickBot="1" x14ac:dyDescent="0.35">
      <c r="A71" s="19">
        <v>100</v>
      </c>
      <c r="B71" s="20"/>
      <c r="C71" s="21" t="s">
        <v>4</v>
      </c>
      <c r="D71" s="22"/>
      <c r="E71" s="23">
        <v>0</v>
      </c>
      <c r="F71" s="24"/>
      <c r="G71" s="25" t="s">
        <v>8</v>
      </c>
      <c r="H71" s="26"/>
      <c r="I71" s="33"/>
      <c r="J71" s="34"/>
      <c r="M71" s="19">
        <v>100</v>
      </c>
      <c r="N71" s="20"/>
      <c r="O71" s="60" t="s">
        <v>9</v>
      </c>
      <c r="P71" s="61"/>
      <c r="Q71" s="23">
        <v>5.1000000000000004E-3</v>
      </c>
      <c r="R71" s="24"/>
      <c r="S71" s="25" t="s">
        <v>8</v>
      </c>
      <c r="T71" s="26"/>
      <c r="U71" s="33"/>
      <c r="V71" s="34"/>
      <c r="Y71" s="19">
        <v>100</v>
      </c>
      <c r="Z71" s="20"/>
      <c r="AA71" s="60" t="s">
        <v>9</v>
      </c>
      <c r="AB71" s="61"/>
      <c r="AC71" s="68">
        <v>2.63E-2</v>
      </c>
      <c r="AD71" s="69"/>
      <c r="AE71" s="25" t="s">
        <v>8</v>
      </c>
      <c r="AF71" s="26"/>
      <c r="AG71" s="33"/>
      <c r="AH71" s="34"/>
    </row>
    <row r="72" spans="1:34" ht="15" thickTop="1" x14ac:dyDescent="0.3">
      <c r="A72" s="11">
        <v>1000</v>
      </c>
      <c r="B72" s="12"/>
      <c r="C72" s="13" t="s">
        <v>4</v>
      </c>
      <c r="D72" s="14"/>
      <c r="E72" s="15">
        <v>9.9999993999999995E-2</v>
      </c>
      <c r="F72" s="16"/>
      <c r="G72" s="17" t="s">
        <v>8</v>
      </c>
      <c r="H72" s="18"/>
      <c r="I72" s="29">
        <f t="shared" ref="I72" si="36">AVERAGE(E72:F76)</f>
        <v>0.19999999998000001</v>
      </c>
      <c r="J72" s="30"/>
      <c r="M72" s="11">
        <v>1000</v>
      </c>
      <c r="N72" s="12"/>
      <c r="O72" s="62" t="s">
        <v>9</v>
      </c>
      <c r="P72" s="63"/>
      <c r="Q72" s="15">
        <v>0.39300000000000002</v>
      </c>
      <c r="R72" s="16"/>
      <c r="S72" s="17" t="s">
        <v>8</v>
      </c>
      <c r="T72" s="18"/>
      <c r="U72" s="29">
        <f t="shared" ref="U72" si="37">AVERAGE(Q72:R76)</f>
        <v>0.37452000000000002</v>
      </c>
      <c r="V72" s="30"/>
      <c r="Y72" s="11">
        <v>1000</v>
      </c>
      <c r="Z72" s="12"/>
      <c r="AA72" s="62" t="s">
        <v>9</v>
      </c>
      <c r="AB72" s="63"/>
      <c r="AC72" s="1">
        <v>2.5373000000000001</v>
      </c>
      <c r="AD72" s="2"/>
      <c r="AE72" s="17" t="s">
        <v>8</v>
      </c>
      <c r="AF72" s="18"/>
      <c r="AG72" s="29">
        <f t="shared" ref="AG72" si="38">AVERAGE(AC72:AD76)</f>
        <v>2.4329200000000002</v>
      </c>
      <c r="AH72" s="30"/>
    </row>
    <row r="73" spans="1:34" x14ac:dyDescent="0.3">
      <c r="A73" s="27">
        <v>1000</v>
      </c>
      <c r="B73" s="28"/>
      <c r="C73" s="5" t="s">
        <v>4</v>
      </c>
      <c r="D73" s="6"/>
      <c r="E73" s="7">
        <v>0.20000001789999999</v>
      </c>
      <c r="F73" s="8"/>
      <c r="G73" s="9" t="s">
        <v>8</v>
      </c>
      <c r="H73" s="10"/>
      <c r="I73" s="31"/>
      <c r="J73" s="32"/>
      <c r="M73" s="27">
        <v>1000</v>
      </c>
      <c r="N73" s="28"/>
      <c r="O73" s="58" t="s">
        <v>9</v>
      </c>
      <c r="P73" s="59"/>
      <c r="Q73" s="7">
        <v>0.37419999999999998</v>
      </c>
      <c r="R73" s="8"/>
      <c r="S73" s="9" t="s">
        <v>8</v>
      </c>
      <c r="T73" s="10"/>
      <c r="U73" s="31"/>
      <c r="V73" s="32"/>
      <c r="Y73" s="27">
        <v>1000</v>
      </c>
      <c r="Z73" s="28"/>
      <c r="AA73" s="58" t="s">
        <v>9</v>
      </c>
      <c r="AB73" s="59"/>
      <c r="AC73" s="7">
        <v>2.4889999999999999</v>
      </c>
      <c r="AD73" s="8"/>
      <c r="AE73" s="9" t="s">
        <v>8</v>
      </c>
      <c r="AF73" s="10"/>
      <c r="AG73" s="31"/>
      <c r="AH73" s="32"/>
    </row>
    <row r="74" spans="1:34" x14ac:dyDescent="0.3">
      <c r="A74" s="27">
        <v>1000</v>
      </c>
      <c r="B74" s="28"/>
      <c r="C74" s="5" t="s">
        <v>4</v>
      </c>
      <c r="D74" s="6"/>
      <c r="E74" s="7">
        <v>0.29999998210000001</v>
      </c>
      <c r="F74" s="8"/>
      <c r="G74" s="9" t="s">
        <v>8</v>
      </c>
      <c r="H74" s="10"/>
      <c r="I74" s="31"/>
      <c r="J74" s="32"/>
      <c r="M74" s="27">
        <v>1000</v>
      </c>
      <c r="N74" s="28"/>
      <c r="O74" s="58" t="s">
        <v>9</v>
      </c>
      <c r="P74" s="59"/>
      <c r="Q74" s="7">
        <v>0.36959999999999998</v>
      </c>
      <c r="R74" s="8"/>
      <c r="S74" s="9" t="s">
        <v>8</v>
      </c>
      <c r="T74" s="10"/>
      <c r="U74" s="31"/>
      <c r="V74" s="32"/>
      <c r="Y74" s="27">
        <v>1000</v>
      </c>
      <c r="Z74" s="28"/>
      <c r="AA74" s="58" t="s">
        <v>9</v>
      </c>
      <c r="AB74" s="59"/>
      <c r="AC74" s="7">
        <v>2.3786999999999998</v>
      </c>
      <c r="AD74" s="8"/>
      <c r="AE74" s="9" t="s">
        <v>8</v>
      </c>
      <c r="AF74" s="10"/>
      <c r="AG74" s="31"/>
      <c r="AH74" s="32"/>
    </row>
    <row r="75" spans="1:34" x14ac:dyDescent="0.3">
      <c r="A75" s="27">
        <v>1000</v>
      </c>
      <c r="B75" s="28"/>
      <c r="C75" s="5" t="s">
        <v>4</v>
      </c>
      <c r="D75" s="6"/>
      <c r="E75" s="7">
        <v>9.9999993999999995E-2</v>
      </c>
      <c r="F75" s="8"/>
      <c r="G75" s="9" t="s">
        <v>8</v>
      </c>
      <c r="H75" s="10"/>
      <c r="I75" s="31"/>
      <c r="J75" s="32"/>
      <c r="M75" s="27">
        <v>1000</v>
      </c>
      <c r="N75" s="28"/>
      <c r="O75" s="58" t="s">
        <v>9</v>
      </c>
      <c r="P75" s="59"/>
      <c r="Q75" s="7">
        <v>0.3649</v>
      </c>
      <c r="R75" s="8"/>
      <c r="S75" s="9" t="s">
        <v>8</v>
      </c>
      <c r="T75" s="10"/>
      <c r="U75" s="31"/>
      <c r="V75" s="32"/>
      <c r="Y75" s="27">
        <v>1000</v>
      </c>
      <c r="Z75" s="28"/>
      <c r="AA75" s="58" t="s">
        <v>9</v>
      </c>
      <c r="AB75" s="59"/>
      <c r="AC75" s="7">
        <v>2.4451999999999998</v>
      </c>
      <c r="AD75" s="8"/>
      <c r="AE75" s="9" t="s">
        <v>8</v>
      </c>
      <c r="AF75" s="10"/>
      <c r="AG75" s="31"/>
      <c r="AH75" s="32"/>
    </row>
    <row r="76" spans="1:34" ht="15" thickBot="1" x14ac:dyDescent="0.35">
      <c r="A76" s="19">
        <v>1000</v>
      </c>
      <c r="B76" s="20"/>
      <c r="C76" s="21" t="s">
        <v>4</v>
      </c>
      <c r="D76" s="22"/>
      <c r="E76" s="23">
        <v>0.30000001189999997</v>
      </c>
      <c r="F76" s="24"/>
      <c r="G76" s="25" t="s">
        <v>8</v>
      </c>
      <c r="H76" s="26"/>
      <c r="I76" s="33"/>
      <c r="J76" s="34"/>
      <c r="M76" s="19">
        <v>1000</v>
      </c>
      <c r="N76" s="20"/>
      <c r="O76" s="60" t="s">
        <v>9</v>
      </c>
      <c r="P76" s="61"/>
      <c r="Q76" s="23">
        <v>0.37090000000000001</v>
      </c>
      <c r="R76" s="24"/>
      <c r="S76" s="25" t="s">
        <v>8</v>
      </c>
      <c r="T76" s="26"/>
      <c r="U76" s="33"/>
      <c r="V76" s="34"/>
      <c r="Y76" s="19">
        <v>1000</v>
      </c>
      <c r="Z76" s="20"/>
      <c r="AA76" s="60" t="s">
        <v>9</v>
      </c>
      <c r="AB76" s="61"/>
      <c r="AC76" s="23">
        <v>2.3144</v>
      </c>
      <c r="AD76" s="24"/>
      <c r="AE76" s="25" t="s">
        <v>8</v>
      </c>
      <c r="AF76" s="26"/>
      <c r="AG76" s="33"/>
      <c r="AH76" s="34"/>
    </row>
    <row r="77" spans="1:34" ht="15" thickTop="1" x14ac:dyDescent="0.3">
      <c r="A77" s="11">
        <v>10000</v>
      </c>
      <c r="B77" s="12"/>
      <c r="C77" s="13" t="s">
        <v>4</v>
      </c>
      <c r="D77" s="14"/>
      <c r="E77" s="15">
        <v>10.900000006000001</v>
      </c>
      <c r="F77" s="16"/>
      <c r="G77" s="17" t="s">
        <v>8</v>
      </c>
      <c r="H77" s="18"/>
      <c r="I77" s="29">
        <f t="shared" ref="I77" si="39">AVERAGE(E77:F81)</f>
        <v>10.800000005979999</v>
      </c>
      <c r="J77" s="30"/>
      <c r="M77" s="11">
        <v>10000</v>
      </c>
      <c r="N77" s="12"/>
      <c r="O77" s="62" t="s">
        <v>9</v>
      </c>
      <c r="P77" s="63"/>
      <c r="Q77" s="15">
        <v>36.145400000000002</v>
      </c>
      <c r="R77" s="16"/>
      <c r="S77" s="17" t="s">
        <v>8</v>
      </c>
      <c r="T77" s="18"/>
      <c r="U77" s="29">
        <f t="shared" ref="U77" si="40">AVERAGE(Q77:R81)</f>
        <v>37.016820000000003</v>
      </c>
      <c r="V77" s="30"/>
      <c r="Y77" s="11">
        <v>10000</v>
      </c>
      <c r="Z77" s="12"/>
      <c r="AA77" s="62" t="s">
        <v>9</v>
      </c>
      <c r="AB77" s="63"/>
      <c r="AC77" s="15">
        <v>202.25980000000001</v>
      </c>
      <c r="AD77" s="16"/>
      <c r="AE77" s="17" t="s">
        <v>8</v>
      </c>
      <c r="AF77" s="18"/>
      <c r="AG77" s="29">
        <f t="shared" ref="AG77" si="41">AVERAGE(AC77:AD81)</f>
        <v>186.52884</v>
      </c>
      <c r="AH77" s="30"/>
    </row>
    <row r="78" spans="1:34" x14ac:dyDescent="0.3">
      <c r="A78" s="27">
        <v>10000</v>
      </c>
      <c r="B78" s="28"/>
      <c r="C78" s="5" t="s">
        <v>4</v>
      </c>
      <c r="D78" s="6"/>
      <c r="E78" s="7">
        <v>10.700000017900001</v>
      </c>
      <c r="F78" s="8"/>
      <c r="G78" s="9" t="s">
        <v>8</v>
      </c>
      <c r="H78" s="10"/>
      <c r="I78" s="31"/>
      <c r="J78" s="32"/>
      <c r="M78" s="27">
        <v>10000</v>
      </c>
      <c r="N78" s="28"/>
      <c r="O78" s="58" t="s">
        <v>9</v>
      </c>
      <c r="P78" s="59"/>
      <c r="Q78" s="7">
        <v>41.5182</v>
      </c>
      <c r="R78" s="8"/>
      <c r="S78" s="9" t="s">
        <v>8</v>
      </c>
      <c r="T78" s="10"/>
      <c r="U78" s="31"/>
      <c r="V78" s="32"/>
      <c r="Y78" s="27">
        <v>10000</v>
      </c>
      <c r="Z78" s="28"/>
      <c r="AA78" s="58" t="s">
        <v>9</v>
      </c>
      <c r="AB78" s="59"/>
      <c r="AC78" s="7">
        <v>196.95050000000001</v>
      </c>
      <c r="AD78" s="8"/>
      <c r="AE78" s="9" t="s">
        <v>8</v>
      </c>
      <c r="AF78" s="10"/>
      <c r="AG78" s="31"/>
      <c r="AH78" s="32"/>
    </row>
    <row r="79" spans="1:34" x14ac:dyDescent="0.3">
      <c r="A79" s="27">
        <v>10000</v>
      </c>
      <c r="B79" s="28"/>
      <c r="C79" s="5" t="s">
        <v>4</v>
      </c>
      <c r="D79" s="6"/>
      <c r="E79" s="7">
        <v>10.6999999881</v>
      </c>
      <c r="F79" s="8"/>
      <c r="G79" s="9" t="s">
        <v>8</v>
      </c>
      <c r="H79" s="10"/>
      <c r="I79" s="31"/>
      <c r="J79" s="32"/>
      <c r="M79" s="27">
        <v>10000</v>
      </c>
      <c r="N79" s="28"/>
      <c r="O79" s="58" t="s">
        <v>9</v>
      </c>
      <c r="P79" s="59"/>
      <c r="Q79" s="7">
        <v>35.9221</v>
      </c>
      <c r="R79" s="8"/>
      <c r="S79" s="9" t="s">
        <v>8</v>
      </c>
      <c r="T79" s="10"/>
      <c r="U79" s="31"/>
      <c r="V79" s="32"/>
      <c r="Y79" s="27">
        <v>10000</v>
      </c>
      <c r="Z79" s="28"/>
      <c r="AA79" s="58" t="s">
        <v>9</v>
      </c>
      <c r="AB79" s="59"/>
      <c r="AC79" s="7">
        <v>172.6044</v>
      </c>
      <c r="AD79" s="8"/>
      <c r="AE79" s="9" t="s">
        <v>8</v>
      </c>
      <c r="AF79" s="10"/>
      <c r="AG79" s="31"/>
      <c r="AH79" s="32"/>
    </row>
    <row r="80" spans="1:34" x14ac:dyDescent="0.3">
      <c r="A80" s="27">
        <v>10000</v>
      </c>
      <c r="B80" s="28"/>
      <c r="C80" s="5" t="s">
        <v>4</v>
      </c>
      <c r="D80" s="6"/>
      <c r="E80" s="7">
        <v>11</v>
      </c>
      <c r="F80" s="8"/>
      <c r="G80" s="9" t="s">
        <v>8</v>
      </c>
      <c r="H80" s="10"/>
      <c r="I80" s="31"/>
      <c r="J80" s="32"/>
      <c r="M80" s="27">
        <v>10000</v>
      </c>
      <c r="N80" s="28"/>
      <c r="O80" s="58" t="s">
        <v>9</v>
      </c>
      <c r="P80" s="59"/>
      <c r="Q80" s="7">
        <v>36.3947</v>
      </c>
      <c r="R80" s="8"/>
      <c r="S80" s="9" t="s">
        <v>8</v>
      </c>
      <c r="T80" s="10"/>
      <c r="U80" s="31"/>
      <c r="V80" s="32"/>
      <c r="Y80" s="27">
        <v>10000</v>
      </c>
      <c r="Z80" s="28"/>
      <c r="AA80" s="58" t="s">
        <v>9</v>
      </c>
      <c r="AB80" s="59"/>
      <c r="AC80" s="7">
        <v>183.54949999999999</v>
      </c>
      <c r="AD80" s="8"/>
      <c r="AE80" s="9" t="s">
        <v>8</v>
      </c>
      <c r="AF80" s="10"/>
      <c r="AG80" s="31"/>
      <c r="AH80" s="32"/>
    </row>
    <row r="81" spans="1:34" ht="15" thickBot="1" x14ac:dyDescent="0.35">
      <c r="A81" s="35">
        <v>10000</v>
      </c>
      <c r="B81" s="36"/>
      <c r="C81" s="37" t="s">
        <v>4</v>
      </c>
      <c r="D81" s="38"/>
      <c r="E81" s="39">
        <v>10.700000017900001</v>
      </c>
      <c r="F81" s="40"/>
      <c r="G81" s="41" t="s">
        <v>8</v>
      </c>
      <c r="H81" s="57"/>
      <c r="I81" s="33"/>
      <c r="J81" s="34"/>
      <c r="M81" s="35">
        <v>10000</v>
      </c>
      <c r="N81" s="36"/>
      <c r="O81" s="64" t="s">
        <v>9</v>
      </c>
      <c r="P81" s="65"/>
      <c r="Q81" s="39">
        <v>35.103700000000003</v>
      </c>
      <c r="R81" s="40"/>
      <c r="S81" s="41" t="s">
        <v>8</v>
      </c>
      <c r="T81" s="42"/>
      <c r="U81" s="33"/>
      <c r="V81" s="34"/>
      <c r="Y81" s="35">
        <v>10000</v>
      </c>
      <c r="Z81" s="36"/>
      <c r="AA81" s="64" t="s">
        <v>9</v>
      </c>
      <c r="AB81" s="65"/>
      <c r="AC81" s="70">
        <v>177.28</v>
      </c>
      <c r="AD81" s="79"/>
      <c r="AE81" s="41" t="s">
        <v>8</v>
      </c>
      <c r="AF81" s="42"/>
      <c r="AG81" s="33"/>
      <c r="AH81" s="34"/>
    </row>
    <row r="82" spans="1:34" ht="15" thickTop="1" x14ac:dyDescent="0.3">
      <c r="A82" s="43">
        <v>10</v>
      </c>
      <c r="B82" s="44"/>
      <c r="C82" s="66" t="s">
        <v>4</v>
      </c>
      <c r="D82" s="67"/>
      <c r="E82" s="1">
        <v>0</v>
      </c>
      <c r="F82" s="2"/>
      <c r="G82" s="3" t="s">
        <v>11</v>
      </c>
      <c r="H82" s="4"/>
      <c r="I82" s="29">
        <f t="shared" ref="I82" si="42">AVERAGE(E82:F86)</f>
        <v>0</v>
      </c>
      <c r="J82" s="30"/>
      <c r="M82" s="43">
        <v>10</v>
      </c>
      <c r="N82" s="44"/>
      <c r="O82" s="66" t="s">
        <v>9</v>
      </c>
      <c r="P82" s="67"/>
      <c r="Q82" s="1">
        <v>5.9999999999999995E-4</v>
      </c>
      <c r="R82" s="2"/>
      <c r="S82" s="3" t="s">
        <v>11</v>
      </c>
      <c r="T82" s="4"/>
      <c r="U82" s="29">
        <f t="shared" ref="U82" si="43">AVERAGE(Q82:R86)</f>
        <v>5.5999999999999995E-4</v>
      </c>
      <c r="V82" s="30"/>
      <c r="Y82" s="43">
        <v>10</v>
      </c>
      <c r="Z82" s="44"/>
      <c r="AA82" s="66" t="s">
        <v>9</v>
      </c>
      <c r="AB82" s="67"/>
      <c r="AC82" s="72">
        <v>1.2999999999999999E-3</v>
      </c>
      <c r="AD82" s="73"/>
      <c r="AE82" s="3" t="s">
        <v>11</v>
      </c>
      <c r="AF82" s="4"/>
      <c r="AG82" s="29">
        <f t="shared" ref="AG82" si="44">AVERAGE(AC82:AD86)</f>
        <v>1.2400000000000002E-3</v>
      </c>
      <c r="AH82" s="30"/>
    </row>
    <row r="83" spans="1:34" x14ac:dyDescent="0.3">
      <c r="A83" s="27">
        <v>10</v>
      </c>
      <c r="B83" s="28"/>
      <c r="C83" s="58" t="s">
        <v>4</v>
      </c>
      <c r="D83" s="59"/>
      <c r="E83" s="7">
        <v>0</v>
      </c>
      <c r="F83" s="8"/>
      <c r="G83" s="9" t="s">
        <v>11</v>
      </c>
      <c r="H83" s="10"/>
      <c r="I83" s="31"/>
      <c r="J83" s="32"/>
      <c r="M83" s="27">
        <v>10</v>
      </c>
      <c r="N83" s="28"/>
      <c r="O83" s="58" t="s">
        <v>9</v>
      </c>
      <c r="P83" s="59"/>
      <c r="Q83" s="7">
        <v>5.9999999999999995E-4</v>
      </c>
      <c r="R83" s="8"/>
      <c r="S83" s="9" t="s">
        <v>11</v>
      </c>
      <c r="T83" s="10"/>
      <c r="U83" s="31"/>
      <c r="V83" s="32"/>
      <c r="Y83" s="27">
        <v>10</v>
      </c>
      <c r="Z83" s="28"/>
      <c r="AA83" s="58" t="s">
        <v>9</v>
      </c>
      <c r="AB83" s="59"/>
      <c r="AC83" s="74">
        <v>2.2000000000000001E-3</v>
      </c>
      <c r="AD83" s="75"/>
      <c r="AE83" s="9" t="s">
        <v>11</v>
      </c>
      <c r="AF83" s="10"/>
      <c r="AG83" s="31"/>
      <c r="AH83" s="32"/>
    </row>
    <row r="84" spans="1:34" x14ac:dyDescent="0.3">
      <c r="A84" s="27">
        <v>10</v>
      </c>
      <c r="B84" s="28"/>
      <c r="C84" s="58" t="s">
        <v>4</v>
      </c>
      <c r="D84" s="59"/>
      <c r="E84" s="7">
        <v>0</v>
      </c>
      <c r="F84" s="8"/>
      <c r="G84" s="9" t="s">
        <v>11</v>
      </c>
      <c r="H84" s="10"/>
      <c r="I84" s="31"/>
      <c r="J84" s="32"/>
      <c r="M84" s="27">
        <v>10</v>
      </c>
      <c r="N84" s="28"/>
      <c r="O84" s="58" t="s">
        <v>9</v>
      </c>
      <c r="P84" s="59"/>
      <c r="Q84" s="7">
        <v>5.9999999999999995E-4</v>
      </c>
      <c r="R84" s="8"/>
      <c r="S84" s="9" t="s">
        <v>11</v>
      </c>
      <c r="T84" s="10"/>
      <c r="U84" s="31"/>
      <c r="V84" s="32"/>
      <c r="Y84" s="27">
        <v>10</v>
      </c>
      <c r="Z84" s="28"/>
      <c r="AA84" s="58" t="s">
        <v>9</v>
      </c>
      <c r="AB84" s="59"/>
      <c r="AC84" s="74">
        <v>1.1999999999999999E-3</v>
      </c>
      <c r="AD84" s="75"/>
      <c r="AE84" s="9" t="s">
        <v>11</v>
      </c>
      <c r="AF84" s="10"/>
      <c r="AG84" s="31"/>
      <c r="AH84" s="32"/>
    </row>
    <row r="85" spans="1:34" x14ac:dyDescent="0.3">
      <c r="A85" s="27">
        <v>10</v>
      </c>
      <c r="B85" s="28"/>
      <c r="C85" s="58" t="s">
        <v>4</v>
      </c>
      <c r="D85" s="59"/>
      <c r="E85" s="7">
        <v>0</v>
      </c>
      <c r="F85" s="8"/>
      <c r="G85" s="9" t="s">
        <v>11</v>
      </c>
      <c r="H85" s="10"/>
      <c r="I85" s="31"/>
      <c r="J85" s="32"/>
      <c r="M85" s="27">
        <v>10</v>
      </c>
      <c r="N85" s="28"/>
      <c r="O85" s="58" t="s">
        <v>9</v>
      </c>
      <c r="P85" s="59"/>
      <c r="Q85" s="7">
        <v>5.0000000000000001E-4</v>
      </c>
      <c r="R85" s="8"/>
      <c r="S85" s="9" t="s">
        <v>11</v>
      </c>
      <c r="T85" s="10"/>
      <c r="U85" s="31"/>
      <c r="V85" s="32"/>
      <c r="Y85" s="27">
        <v>10</v>
      </c>
      <c r="Z85" s="28"/>
      <c r="AA85" s="58" t="s">
        <v>9</v>
      </c>
      <c r="AB85" s="59"/>
      <c r="AC85" s="74">
        <v>8.0000000000000004E-4</v>
      </c>
      <c r="AD85" s="75"/>
      <c r="AE85" s="9" t="s">
        <v>11</v>
      </c>
      <c r="AF85" s="10"/>
      <c r="AG85" s="31"/>
      <c r="AH85" s="32"/>
    </row>
    <row r="86" spans="1:34" ht="15" thickBot="1" x14ac:dyDescent="0.35">
      <c r="A86" s="19">
        <v>10</v>
      </c>
      <c r="B86" s="20"/>
      <c r="C86" s="60" t="s">
        <v>4</v>
      </c>
      <c r="D86" s="61"/>
      <c r="E86" s="68">
        <v>0</v>
      </c>
      <c r="F86" s="69"/>
      <c r="G86" s="25" t="s">
        <v>11</v>
      </c>
      <c r="H86" s="26"/>
      <c r="I86" s="33"/>
      <c r="J86" s="34"/>
      <c r="M86" s="19">
        <v>10</v>
      </c>
      <c r="N86" s="20"/>
      <c r="O86" s="60" t="s">
        <v>9</v>
      </c>
      <c r="P86" s="61"/>
      <c r="Q86" s="68">
        <v>5.0000000000000001E-4</v>
      </c>
      <c r="R86" s="69"/>
      <c r="S86" s="25" t="s">
        <v>11</v>
      </c>
      <c r="T86" s="26"/>
      <c r="U86" s="33"/>
      <c r="V86" s="34"/>
      <c r="Y86" s="19">
        <v>10</v>
      </c>
      <c r="Z86" s="20"/>
      <c r="AA86" s="60" t="s">
        <v>9</v>
      </c>
      <c r="AB86" s="61"/>
      <c r="AC86" s="68">
        <v>6.9999999999999999E-4</v>
      </c>
      <c r="AD86" s="69"/>
      <c r="AE86" s="25" t="s">
        <v>11</v>
      </c>
      <c r="AF86" s="26"/>
      <c r="AG86" s="33"/>
      <c r="AH86" s="34"/>
    </row>
    <row r="87" spans="1:34" ht="15" thickTop="1" x14ac:dyDescent="0.3">
      <c r="A87" s="43">
        <v>100</v>
      </c>
      <c r="B87" s="44"/>
      <c r="C87" s="62" t="s">
        <v>4</v>
      </c>
      <c r="D87" s="63"/>
      <c r="E87" s="1">
        <v>0</v>
      </c>
      <c r="F87" s="2"/>
      <c r="G87" s="3" t="s">
        <v>11</v>
      </c>
      <c r="H87" s="4"/>
      <c r="I87" s="29">
        <f t="shared" ref="I87" si="45">AVERAGE(E87:F91)</f>
        <v>0</v>
      </c>
      <c r="J87" s="30"/>
      <c r="M87" s="43">
        <v>100</v>
      </c>
      <c r="N87" s="44"/>
      <c r="O87" s="62" t="s">
        <v>9</v>
      </c>
      <c r="P87" s="63"/>
      <c r="Q87" s="1">
        <v>1.66E-2</v>
      </c>
      <c r="R87" s="2"/>
      <c r="S87" s="3" t="s">
        <v>11</v>
      </c>
      <c r="T87" s="4"/>
      <c r="U87" s="29">
        <f t="shared" ref="U87" si="46">AVERAGE(Q87:R91)</f>
        <v>1.704E-2</v>
      </c>
      <c r="V87" s="30"/>
      <c r="Y87" s="43">
        <v>100</v>
      </c>
      <c r="Z87" s="44"/>
      <c r="AA87" s="62" t="s">
        <v>9</v>
      </c>
      <c r="AB87" s="63"/>
      <c r="AC87" s="1">
        <v>0.11899999999999999</v>
      </c>
      <c r="AD87" s="2"/>
      <c r="AE87" s="3" t="s">
        <v>11</v>
      </c>
      <c r="AF87" s="4"/>
      <c r="AG87" s="29">
        <f t="shared" ref="AG87" si="47">AVERAGE(AC87:AD91)</f>
        <v>8.0299999999999996E-2</v>
      </c>
      <c r="AH87" s="30"/>
    </row>
    <row r="88" spans="1:34" x14ac:dyDescent="0.3">
      <c r="A88" s="27">
        <v>100</v>
      </c>
      <c r="B88" s="28"/>
      <c r="C88" s="58" t="s">
        <v>4</v>
      </c>
      <c r="D88" s="59"/>
      <c r="E88" s="7">
        <v>0</v>
      </c>
      <c r="F88" s="8"/>
      <c r="G88" s="9" t="s">
        <v>11</v>
      </c>
      <c r="H88" s="10"/>
      <c r="I88" s="31"/>
      <c r="J88" s="32"/>
      <c r="M88" s="27">
        <v>100</v>
      </c>
      <c r="N88" s="28"/>
      <c r="O88" s="58" t="s">
        <v>9</v>
      </c>
      <c r="P88" s="59"/>
      <c r="Q88" s="7">
        <v>1.77E-2</v>
      </c>
      <c r="R88" s="8"/>
      <c r="S88" s="9" t="s">
        <v>11</v>
      </c>
      <c r="T88" s="10"/>
      <c r="U88" s="31"/>
      <c r="V88" s="32"/>
      <c r="Y88" s="27">
        <v>100</v>
      </c>
      <c r="Z88" s="28"/>
      <c r="AA88" s="58" t="s">
        <v>9</v>
      </c>
      <c r="AB88" s="59"/>
      <c r="AC88" s="7">
        <v>8.0500000000000002E-2</v>
      </c>
      <c r="AD88" s="8"/>
      <c r="AE88" s="9" t="s">
        <v>11</v>
      </c>
      <c r="AF88" s="10"/>
      <c r="AG88" s="31"/>
      <c r="AH88" s="32"/>
    </row>
    <row r="89" spans="1:34" x14ac:dyDescent="0.3">
      <c r="A89" s="27">
        <v>100</v>
      </c>
      <c r="B89" s="28"/>
      <c r="C89" s="58" t="s">
        <v>4</v>
      </c>
      <c r="D89" s="59"/>
      <c r="E89" s="7">
        <v>0</v>
      </c>
      <c r="F89" s="8"/>
      <c r="G89" s="9" t="s">
        <v>11</v>
      </c>
      <c r="H89" s="10"/>
      <c r="I89" s="31"/>
      <c r="J89" s="32"/>
      <c r="M89" s="27">
        <v>100</v>
      </c>
      <c r="N89" s="28"/>
      <c r="O89" s="58" t="s">
        <v>9</v>
      </c>
      <c r="P89" s="59"/>
      <c r="Q89" s="7">
        <v>1.7999999999999999E-2</v>
      </c>
      <c r="R89" s="8"/>
      <c r="S89" s="9" t="s">
        <v>11</v>
      </c>
      <c r="T89" s="10"/>
      <c r="U89" s="31"/>
      <c r="V89" s="32"/>
      <c r="Y89" s="27">
        <v>100</v>
      </c>
      <c r="Z89" s="28"/>
      <c r="AA89" s="58" t="s">
        <v>9</v>
      </c>
      <c r="AB89" s="59"/>
      <c r="AC89" s="7">
        <v>6.9500000000000006E-2</v>
      </c>
      <c r="AD89" s="8"/>
      <c r="AE89" s="9" t="s">
        <v>11</v>
      </c>
      <c r="AF89" s="10"/>
      <c r="AG89" s="31"/>
      <c r="AH89" s="32"/>
    </row>
    <row r="90" spans="1:34" x14ac:dyDescent="0.3">
      <c r="A90" s="27">
        <v>100</v>
      </c>
      <c r="B90" s="28"/>
      <c r="C90" s="58" t="s">
        <v>4</v>
      </c>
      <c r="D90" s="59"/>
      <c r="E90" s="7">
        <v>0</v>
      </c>
      <c r="F90" s="8"/>
      <c r="G90" s="9" t="s">
        <v>11</v>
      </c>
      <c r="H90" s="10"/>
      <c r="I90" s="31"/>
      <c r="J90" s="32"/>
      <c r="M90" s="27">
        <v>100</v>
      </c>
      <c r="N90" s="28"/>
      <c r="O90" s="58" t="s">
        <v>9</v>
      </c>
      <c r="P90" s="59"/>
      <c r="Q90" s="7">
        <v>1.61E-2</v>
      </c>
      <c r="R90" s="8"/>
      <c r="S90" s="9" t="s">
        <v>11</v>
      </c>
      <c r="T90" s="10"/>
      <c r="U90" s="31"/>
      <c r="V90" s="32"/>
      <c r="Y90" s="27">
        <v>100</v>
      </c>
      <c r="Z90" s="28"/>
      <c r="AA90" s="58" t="s">
        <v>9</v>
      </c>
      <c r="AB90" s="59"/>
      <c r="AC90" s="7">
        <v>6.7699999999999996E-2</v>
      </c>
      <c r="AD90" s="8"/>
      <c r="AE90" s="9" t="s">
        <v>11</v>
      </c>
      <c r="AF90" s="10"/>
      <c r="AG90" s="31"/>
      <c r="AH90" s="32"/>
    </row>
    <row r="91" spans="1:34" ht="15" thickBot="1" x14ac:dyDescent="0.35">
      <c r="A91" s="19">
        <v>100</v>
      </c>
      <c r="B91" s="20"/>
      <c r="C91" s="60" t="s">
        <v>4</v>
      </c>
      <c r="D91" s="61"/>
      <c r="E91" s="23">
        <v>0</v>
      </c>
      <c r="F91" s="24"/>
      <c r="G91" s="25" t="s">
        <v>11</v>
      </c>
      <c r="H91" s="26"/>
      <c r="I91" s="33"/>
      <c r="J91" s="34"/>
      <c r="M91" s="19">
        <v>100</v>
      </c>
      <c r="N91" s="20"/>
      <c r="O91" s="60" t="s">
        <v>9</v>
      </c>
      <c r="P91" s="61"/>
      <c r="Q91" s="23">
        <v>1.6799999999999999E-2</v>
      </c>
      <c r="R91" s="24"/>
      <c r="S91" s="25" t="s">
        <v>11</v>
      </c>
      <c r="T91" s="26"/>
      <c r="U91" s="33"/>
      <c r="V91" s="34"/>
      <c r="Y91" s="19">
        <v>100</v>
      </c>
      <c r="Z91" s="20"/>
      <c r="AA91" s="60" t="s">
        <v>9</v>
      </c>
      <c r="AB91" s="61"/>
      <c r="AC91" s="23">
        <v>6.4799999999999996E-2</v>
      </c>
      <c r="AD91" s="24"/>
      <c r="AE91" s="25" t="s">
        <v>11</v>
      </c>
      <c r="AF91" s="26"/>
      <c r="AG91" s="33"/>
      <c r="AH91" s="34"/>
    </row>
    <row r="92" spans="1:34" ht="15" thickTop="1" x14ac:dyDescent="0.3">
      <c r="A92" s="11">
        <v>1000</v>
      </c>
      <c r="B92" s="12"/>
      <c r="C92" s="62" t="s">
        <v>4</v>
      </c>
      <c r="D92" s="63"/>
      <c r="E92" s="15">
        <v>0.69999999930000001</v>
      </c>
      <c r="F92" s="16"/>
      <c r="G92" s="17" t="s">
        <v>11</v>
      </c>
      <c r="H92" s="18"/>
      <c r="I92" s="29">
        <f t="shared" ref="I92" si="48">AVERAGE(E92:F96)</f>
        <v>0.7799999997</v>
      </c>
      <c r="J92" s="30"/>
      <c r="M92" s="11">
        <v>1000</v>
      </c>
      <c r="N92" s="12"/>
      <c r="O92" s="62" t="s">
        <v>9</v>
      </c>
      <c r="P92" s="63"/>
      <c r="Q92" s="15">
        <v>1.1881999999999999</v>
      </c>
      <c r="R92" s="16"/>
      <c r="S92" s="17" t="s">
        <v>11</v>
      </c>
      <c r="T92" s="18"/>
      <c r="U92" s="29">
        <f t="shared" ref="U92" si="49">AVERAGE(Q92:R96)</f>
        <v>1.23004</v>
      </c>
      <c r="V92" s="30"/>
      <c r="Y92" s="11">
        <v>1000</v>
      </c>
      <c r="Z92" s="12"/>
      <c r="AA92" s="62" t="s">
        <v>9</v>
      </c>
      <c r="AB92" s="63"/>
      <c r="AC92" s="15">
        <v>6.4081999999999999</v>
      </c>
      <c r="AD92" s="16"/>
      <c r="AE92" s="17" t="s">
        <v>11</v>
      </c>
      <c r="AF92" s="18"/>
      <c r="AG92" s="29">
        <f t="shared" ref="AG92" si="50">AVERAGE(AC92:AD96)</f>
        <v>6.3502200000000002</v>
      </c>
      <c r="AH92" s="30"/>
    </row>
    <row r="93" spans="1:34" x14ac:dyDescent="0.3">
      <c r="A93" s="27">
        <v>1000</v>
      </c>
      <c r="B93" s="28"/>
      <c r="C93" s="58" t="s">
        <v>4</v>
      </c>
      <c r="D93" s="59"/>
      <c r="E93" s="7">
        <v>0.60000000149999999</v>
      </c>
      <c r="F93" s="8"/>
      <c r="G93" s="9" t="s">
        <v>11</v>
      </c>
      <c r="H93" s="10"/>
      <c r="I93" s="31"/>
      <c r="J93" s="32"/>
      <c r="M93" s="27">
        <v>1000</v>
      </c>
      <c r="N93" s="28"/>
      <c r="O93" s="58" t="s">
        <v>9</v>
      </c>
      <c r="P93" s="59"/>
      <c r="Q93" s="7">
        <v>1.1880999999999999</v>
      </c>
      <c r="R93" s="8"/>
      <c r="S93" s="9" t="s">
        <v>11</v>
      </c>
      <c r="T93" s="10"/>
      <c r="U93" s="31"/>
      <c r="V93" s="32"/>
      <c r="Y93" s="27">
        <v>1000</v>
      </c>
      <c r="Z93" s="28"/>
      <c r="AA93" s="58" t="s">
        <v>9</v>
      </c>
      <c r="AB93" s="59"/>
      <c r="AC93" s="7">
        <v>6.4039999999999999</v>
      </c>
      <c r="AD93" s="8"/>
      <c r="AE93" s="9" t="s">
        <v>11</v>
      </c>
      <c r="AF93" s="10"/>
      <c r="AG93" s="31"/>
      <c r="AH93" s="32"/>
    </row>
    <row r="94" spans="1:34" x14ac:dyDescent="0.3">
      <c r="A94" s="27">
        <v>1000</v>
      </c>
      <c r="B94" s="28"/>
      <c r="C94" s="58" t="s">
        <v>4</v>
      </c>
      <c r="D94" s="59"/>
      <c r="E94" s="7">
        <v>0.89999999850000001</v>
      </c>
      <c r="F94" s="8"/>
      <c r="G94" s="9" t="s">
        <v>11</v>
      </c>
      <c r="H94" s="10"/>
      <c r="I94" s="31"/>
      <c r="J94" s="32"/>
      <c r="M94" s="27">
        <v>1000</v>
      </c>
      <c r="N94" s="28"/>
      <c r="O94" s="58" t="s">
        <v>9</v>
      </c>
      <c r="P94" s="59"/>
      <c r="Q94" s="7">
        <v>1.1414</v>
      </c>
      <c r="R94" s="8"/>
      <c r="S94" s="9" t="s">
        <v>11</v>
      </c>
      <c r="T94" s="10"/>
      <c r="U94" s="31"/>
      <c r="V94" s="32"/>
      <c r="Y94" s="27">
        <v>1000</v>
      </c>
      <c r="Z94" s="28"/>
      <c r="AA94" s="58" t="s">
        <v>9</v>
      </c>
      <c r="AB94" s="59"/>
      <c r="AC94" s="7">
        <v>6.1835000000000004</v>
      </c>
      <c r="AD94" s="8"/>
      <c r="AE94" s="9" t="s">
        <v>11</v>
      </c>
      <c r="AF94" s="10"/>
      <c r="AG94" s="31"/>
      <c r="AH94" s="32"/>
    </row>
    <row r="95" spans="1:34" x14ac:dyDescent="0.3">
      <c r="A95" s="27">
        <v>1000</v>
      </c>
      <c r="B95" s="28"/>
      <c r="C95" s="58" t="s">
        <v>4</v>
      </c>
      <c r="D95" s="59"/>
      <c r="E95" s="7">
        <v>0.80000000069999999</v>
      </c>
      <c r="F95" s="8"/>
      <c r="G95" s="9" t="s">
        <v>11</v>
      </c>
      <c r="H95" s="10"/>
      <c r="I95" s="31"/>
      <c r="J95" s="32"/>
      <c r="M95" s="27">
        <v>1000</v>
      </c>
      <c r="N95" s="28"/>
      <c r="O95" s="58" t="s">
        <v>9</v>
      </c>
      <c r="P95" s="59"/>
      <c r="Q95" s="7">
        <v>1.3216000000000001</v>
      </c>
      <c r="R95" s="8"/>
      <c r="S95" s="9" t="s">
        <v>11</v>
      </c>
      <c r="T95" s="10"/>
      <c r="U95" s="31"/>
      <c r="V95" s="32"/>
      <c r="Y95" s="27">
        <v>1000</v>
      </c>
      <c r="Z95" s="28"/>
      <c r="AA95" s="58" t="s">
        <v>9</v>
      </c>
      <c r="AB95" s="59"/>
      <c r="AC95" s="7">
        <v>6.8066000000000004</v>
      </c>
      <c r="AD95" s="8"/>
      <c r="AE95" s="9" t="s">
        <v>11</v>
      </c>
      <c r="AF95" s="10"/>
      <c r="AG95" s="31"/>
      <c r="AH95" s="32"/>
    </row>
    <row r="96" spans="1:34" ht="15" thickBot="1" x14ac:dyDescent="0.35">
      <c r="A96" s="19">
        <v>1000</v>
      </c>
      <c r="B96" s="20"/>
      <c r="C96" s="60" t="s">
        <v>4</v>
      </c>
      <c r="D96" s="61"/>
      <c r="E96" s="23">
        <v>0.89999999850000001</v>
      </c>
      <c r="F96" s="24"/>
      <c r="G96" s="25" t="s">
        <v>11</v>
      </c>
      <c r="H96" s="26"/>
      <c r="I96" s="33"/>
      <c r="J96" s="34"/>
      <c r="M96" s="19">
        <v>1000</v>
      </c>
      <c r="N96" s="20"/>
      <c r="O96" s="60" t="s">
        <v>9</v>
      </c>
      <c r="P96" s="61"/>
      <c r="Q96" s="23">
        <v>1.3109</v>
      </c>
      <c r="R96" s="24"/>
      <c r="S96" s="25" t="s">
        <v>11</v>
      </c>
      <c r="T96" s="26"/>
      <c r="U96" s="33"/>
      <c r="V96" s="34"/>
      <c r="Y96" s="19">
        <v>1000</v>
      </c>
      <c r="Z96" s="20"/>
      <c r="AA96" s="60" t="s">
        <v>9</v>
      </c>
      <c r="AB96" s="61"/>
      <c r="AC96" s="23">
        <v>5.9488000000000003</v>
      </c>
      <c r="AD96" s="24"/>
      <c r="AE96" s="25" t="s">
        <v>11</v>
      </c>
      <c r="AF96" s="26"/>
      <c r="AG96" s="33"/>
      <c r="AH96" s="34"/>
    </row>
    <row r="97" spans="1:34" ht="14.25" customHeight="1" thickTop="1" x14ac:dyDescent="0.3">
      <c r="A97" s="11">
        <v>10000</v>
      </c>
      <c r="B97" s="12"/>
      <c r="C97" s="62" t="s">
        <v>4</v>
      </c>
      <c r="D97" s="63"/>
      <c r="E97" s="15">
        <v>103.3000000007</v>
      </c>
      <c r="F97" s="16"/>
      <c r="G97" s="17" t="s">
        <v>11</v>
      </c>
      <c r="H97" s="18"/>
      <c r="I97" s="29">
        <f t="shared" ref="I97" si="51">AVERAGE(E97:F101)</f>
        <v>91.140000000579988</v>
      </c>
      <c r="J97" s="30"/>
      <c r="M97" s="11">
        <v>10000</v>
      </c>
      <c r="N97" s="12"/>
      <c r="O97" s="62" t="s">
        <v>9</v>
      </c>
      <c r="P97" s="63"/>
      <c r="Q97" s="15">
        <v>230.12430000000001</v>
      </c>
      <c r="R97" s="16"/>
      <c r="S97" s="17" t="s">
        <v>11</v>
      </c>
      <c r="T97" s="18"/>
      <c r="U97" s="29">
        <f t="shared" ref="U97" si="52">AVERAGE(Q97:R101)</f>
        <v>239.94793999999996</v>
      </c>
      <c r="V97" s="30"/>
      <c r="Y97" s="11">
        <v>10000</v>
      </c>
      <c r="Z97" s="12"/>
      <c r="AA97" s="62" t="s">
        <v>9</v>
      </c>
      <c r="AB97" s="63"/>
      <c r="AC97" s="15">
        <v>692.85109999999997</v>
      </c>
      <c r="AD97" s="16"/>
      <c r="AE97" s="17" t="s">
        <v>11</v>
      </c>
      <c r="AF97" s="18"/>
      <c r="AG97" s="29">
        <f t="shared" ref="AG97" si="53">AVERAGE(AC97:AD101)</f>
        <v>727.31901999999991</v>
      </c>
      <c r="AH97" s="30"/>
    </row>
    <row r="98" spans="1:34" x14ac:dyDescent="0.3">
      <c r="A98" s="27">
        <v>10000</v>
      </c>
      <c r="B98" s="28"/>
      <c r="C98" s="58" t="s">
        <v>4</v>
      </c>
      <c r="D98" s="59"/>
      <c r="E98" s="7">
        <v>84.600000001500007</v>
      </c>
      <c r="F98" s="8"/>
      <c r="G98" s="9" t="s">
        <v>11</v>
      </c>
      <c r="H98" s="10"/>
      <c r="I98" s="31"/>
      <c r="J98" s="32"/>
      <c r="M98" s="27">
        <v>10000</v>
      </c>
      <c r="N98" s="28"/>
      <c r="O98" s="58" t="s">
        <v>9</v>
      </c>
      <c r="P98" s="59"/>
      <c r="Q98" s="7">
        <v>252.3948</v>
      </c>
      <c r="R98" s="8"/>
      <c r="S98" s="9" t="s">
        <v>11</v>
      </c>
      <c r="T98" s="10"/>
      <c r="U98" s="31"/>
      <c r="V98" s="32"/>
      <c r="Y98" s="27">
        <v>10000</v>
      </c>
      <c r="Z98" s="28"/>
      <c r="AA98" s="58" t="s">
        <v>9</v>
      </c>
      <c r="AB98" s="59"/>
      <c r="AC98" s="7">
        <v>716.27139999999997</v>
      </c>
      <c r="AD98" s="8"/>
      <c r="AE98" s="9" t="s">
        <v>11</v>
      </c>
      <c r="AF98" s="10"/>
      <c r="AG98" s="31"/>
      <c r="AH98" s="32"/>
    </row>
    <row r="99" spans="1:34" x14ac:dyDescent="0.3">
      <c r="A99" s="27">
        <v>10000</v>
      </c>
      <c r="B99" s="28"/>
      <c r="C99" s="58" t="s">
        <v>4</v>
      </c>
      <c r="D99" s="59"/>
      <c r="E99" s="7">
        <v>87</v>
      </c>
      <c r="F99" s="8"/>
      <c r="G99" s="9" t="s">
        <v>11</v>
      </c>
      <c r="H99" s="10"/>
      <c r="I99" s="31"/>
      <c r="J99" s="32"/>
      <c r="M99" s="27">
        <v>10000</v>
      </c>
      <c r="N99" s="28"/>
      <c r="O99" s="58" t="s">
        <v>9</v>
      </c>
      <c r="P99" s="59"/>
      <c r="Q99" s="7">
        <v>243.85149999999999</v>
      </c>
      <c r="R99" s="8"/>
      <c r="S99" s="9" t="s">
        <v>11</v>
      </c>
      <c r="T99" s="10"/>
      <c r="U99" s="31"/>
      <c r="V99" s="32"/>
      <c r="Y99" s="27">
        <v>10000</v>
      </c>
      <c r="Z99" s="28"/>
      <c r="AA99" s="58" t="s">
        <v>9</v>
      </c>
      <c r="AB99" s="59"/>
      <c r="AC99" s="7">
        <v>721.22540000000004</v>
      </c>
      <c r="AD99" s="8"/>
      <c r="AE99" s="9" t="s">
        <v>11</v>
      </c>
      <c r="AF99" s="10"/>
      <c r="AG99" s="31"/>
      <c r="AH99" s="32"/>
    </row>
    <row r="100" spans="1:34" x14ac:dyDescent="0.3">
      <c r="A100" s="27">
        <v>10000</v>
      </c>
      <c r="B100" s="28"/>
      <c r="C100" s="58" t="s">
        <v>4</v>
      </c>
      <c r="D100" s="59"/>
      <c r="E100" s="7">
        <v>90</v>
      </c>
      <c r="F100" s="8"/>
      <c r="G100" s="9" t="s">
        <v>11</v>
      </c>
      <c r="H100" s="10"/>
      <c r="I100" s="31"/>
      <c r="J100" s="32"/>
      <c r="M100" s="27">
        <v>10000</v>
      </c>
      <c r="N100" s="28"/>
      <c r="O100" s="58" t="s">
        <v>9</v>
      </c>
      <c r="P100" s="59"/>
      <c r="Q100" s="7">
        <v>243.85149999999999</v>
      </c>
      <c r="R100" s="8"/>
      <c r="S100" s="9" t="s">
        <v>11</v>
      </c>
      <c r="T100" s="10"/>
      <c r="U100" s="31"/>
      <c r="V100" s="32"/>
      <c r="Y100" s="27">
        <v>10000</v>
      </c>
      <c r="Z100" s="28"/>
      <c r="AA100" s="58" t="s">
        <v>9</v>
      </c>
      <c r="AB100" s="59"/>
      <c r="AC100" s="7">
        <v>720.84749999999997</v>
      </c>
      <c r="AD100" s="8"/>
      <c r="AE100" s="9" t="s">
        <v>11</v>
      </c>
      <c r="AF100" s="10"/>
      <c r="AG100" s="31"/>
      <c r="AH100" s="32"/>
    </row>
    <row r="101" spans="1:34" ht="15" thickBot="1" x14ac:dyDescent="0.35">
      <c r="A101" s="35">
        <v>10000</v>
      </c>
      <c r="B101" s="36"/>
      <c r="C101" s="64" t="s">
        <v>4</v>
      </c>
      <c r="D101" s="65"/>
      <c r="E101" s="39">
        <v>90.800000000699995</v>
      </c>
      <c r="F101" s="40"/>
      <c r="G101" s="41" t="s">
        <v>11</v>
      </c>
      <c r="H101" s="42"/>
      <c r="I101" s="33"/>
      <c r="J101" s="34"/>
      <c r="M101" s="35">
        <v>10000</v>
      </c>
      <c r="N101" s="36"/>
      <c r="O101" s="64" t="s">
        <v>9</v>
      </c>
      <c r="P101" s="65"/>
      <c r="Q101" s="39">
        <v>229.51759999999999</v>
      </c>
      <c r="R101" s="40"/>
      <c r="S101" s="41" t="s">
        <v>11</v>
      </c>
      <c r="T101" s="42"/>
      <c r="U101" s="33"/>
      <c r="V101" s="34"/>
      <c r="Y101" s="35">
        <v>10000</v>
      </c>
      <c r="Z101" s="36"/>
      <c r="AA101" s="64" t="s">
        <v>9</v>
      </c>
      <c r="AB101" s="65"/>
      <c r="AC101" s="39">
        <v>785.39970000000005</v>
      </c>
      <c r="AD101" s="40"/>
      <c r="AE101" s="41" t="s">
        <v>11</v>
      </c>
      <c r="AF101" s="42"/>
      <c r="AG101" s="33"/>
      <c r="AH101" s="34"/>
    </row>
    <row r="102" spans="1:34" ht="15" thickTop="1" x14ac:dyDescent="0.3"/>
  </sheetData>
  <mergeCells count="1275">
    <mergeCell ref="Y97:Z97"/>
    <mergeCell ref="AA97:AB97"/>
    <mergeCell ref="AC97:AD97"/>
    <mergeCell ref="AE97:AF97"/>
    <mergeCell ref="AG97:AH101"/>
    <mergeCell ref="Y98:Z98"/>
    <mergeCell ref="AA98:AB98"/>
    <mergeCell ref="AC98:AD98"/>
    <mergeCell ref="AE98:AF98"/>
    <mergeCell ref="Y99:Z99"/>
    <mergeCell ref="AA99:AB99"/>
    <mergeCell ref="AC99:AD99"/>
    <mergeCell ref="AE99:AF99"/>
    <mergeCell ref="Y100:Z100"/>
    <mergeCell ref="AA100:AB100"/>
    <mergeCell ref="AC100:AD100"/>
    <mergeCell ref="AE100:AF100"/>
    <mergeCell ref="Y101:Z101"/>
    <mergeCell ref="AA101:AB101"/>
    <mergeCell ref="AC101:AD101"/>
    <mergeCell ref="AE101:AF101"/>
    <mergeCell ref="Y92:Z92"/>
    <mergeCell ref="AA92:AB92"/>
    <mergeCell ref="AC92:AD92"/>
    <mergeCell ref="AE92:AF92"/>
    <mergeCell ref="AG92:AH96"/>
    <mergeCell ref="Y93:Z93"/>
    <mergeCell ref="AA93:AB93"/>
    <mergeCell ref="AC93:AD93"/>
    <mergeCell ref="AE93:AF93"/>
    <mergeCell ref="Y94:Z94"/>
    <mergeCell ref="AA94:AB94"/>
    <mergeCell ref="AC94:AD94"/>
    <mergeCell ref="AE94:AF94"/>
    <mergeCell ref="Y95:Z95"/>
    <mergeCell ref="AA95:AB95"/>
    <mergeCell ref="AC95:AD95"/>
    <mergeCell ref="AE95:AF95"/>
    <mergeCell ref="Y96:Z96"/>
    <mergeCell ref="AA96:AB96"/>
    <mergeCell ref="AC96:AD96"/>
    <mergeCell ref="AE96:AF96"/>
    <mergeCell ref="Y87:Z87"/>
    <mergeCell ref="AA87:AB87"/>
    <mergeCell ref="AC87:AD87"/>
    <mergeCell ref="AE87:AF87"/>
    <mergeCell ref="AG87:AH91"/>
    <mergeCell ref="Y88:Z88"/>
    <mergeCell ref="AA88:AB88"/>
    <mergeCell ref="AC88:AD88"/>
    <mergeCell ref="AE88:AF88"/>
    <mergeCell ref="Y89:Z89"/>
    <mergeCell ref="AA89:AB89"/>
    <mergeCell ref="AC89:AD89"/>
    <mergeCell ref="AE89:AF89"/>
    <mergeCell ref="Y90:Z90"/>
    <mergeCell ref="AA90:AB90"/>
    <mergeCell ref="AC90:AD90"/>
    <mergeCell ref="AE90:AF90"/>
    <mergeCell ref="Y91:Z91"/>
    <mergeCell ref="AA91:AB91"/>
    <mergeCell ref="AC91:AD91"/>
    <mergeCell ref="AE91:AF91"/>
    <mergeCell ref="Y82:Z82"/>
    <mergeCell ref="AA82:AB82"/>
    <mergeCell ref="AC82:AD82"/>
    <mergeCell ref="AE82:AF82"/>
    <mergeCell ref="AG82:AH86"/>
    <mergeCell ref="Y83:Z83"/>
    <mergeCell ref="AA83:AB83"/>
    <mergeCell ref="AC83:AD83"/>
    <mergeCell ref="AE83:AF83"/>
    <mergeCell ref="Y84:Z84"/>
    <mergeCell ref="AA84:AB84"/>
    <mergeCell ref="AC84:AD84"/>
    <mergeCell ref="AE84:AF84"/>
    <mergeCell ref="Y85:Z85"/>
    <mergeCell ref="AA85:AB85"/>
    <mergeCell ref="AC85:AD85"/>
    <mergeCell ref="AE85:AF85"/>
    <mergeCell ref="Y86:Z86"/>
    <mergeCell ref="AA86:AB86"/>
    <mergeCell ref="AC86:AD86"/>
    <mergeCell ref="AE86:AF86"/>
    <mergeCell ref="Y77:Z77"/>
    <mergeCell ref="AA77:AB77"/>
    <mergeCell ref="AC77:AD77"/>
    <mergeCell ref="AE77:AF77"/>
    <mergeCell ref="AG77:AH81"/>
    <mergeCell ref="Y78:Z78"/>
    <mergeCell ref="AA78:AB78"/>
    <mergeCell ref="AC78:AD78"/>
    <mergeCell ref="AE78:AF78"/>
    <mergeCell ref="Y79:Z79"/>
    <mergeCell ref="AA79:AB79"/>
    <mergeCell ref="AC79:AD79"/>
    <mergeCell ref="AE79:AF79"/>
    <mergeCell ref="Y80:Z80"/>
    <mergeCell ref="AA80:AB80"/>
    <mergeCell ref="AC80:AD80"/>
    <mergeCell ref="AE80:AF80"/>
    <mergeCell ref="Y81:Z81"/>
    <mergeCell ref="AA81:AB81"/>
    <mergeCell ref="AC81:AD81"/>
    <mergeCell ref="AE81:AF81"/>
    <mergeCell ref="Y72:Z72"/>
    <mergeCell ref="AA72:AB72"/>
    <mergeCell ref="AC72:AD72"/>
    <mergeCell ref="AE72:AF72"/>
    <mergeCell ref="AG72:AH76"/>
    <mergeCell ref="Y73:Z73"/>
    <mergeCell ref="AA73:AB73"/>
    <mergeCell ref="AC73:AD73"/>
    <mergeCell ref="AE73:AF73"/>
    <mergeCell ref="Y74:Z74"/>
    <mergeCell ref="AA74:AB74"/>
    <mergeCell ref="AC74:AD74"/>
    <mergeCell ref="AE74:AF74"/>
    <mergeCell ref="Y75:Z75"/>
    <mergeCell ref="AA75:AB75"/>
    <mergeCell ref="AC75:AD75"/>
    <mergeCell ref="AE75:AF75"/>
    <mergeCell ref="Y76:Z76"/>
    <mergeCell ref="AA76:AB76"/>
    <mergeCell ref="AC76:AD76"/>
    <mergeCell ref="AE76:AF76"/>
    <mergeCell ref="Y67:Z67"/>
    <mergeCell ref="AA67:AB67"/>
    <mergeCell ref="AC67:AD67"/>
    <mergeCell ref="AE67:AF67"/>
    <mergeCell ref="AG67:AH71"/>
    <mergeCell ref="Y68:Z68"/>
    <mergeCell ref="AA68:AB68"/>
    <mergeCell ref="AC68:AD68"/>
    <mergeCell ref="AE68:AF68"/>
    <mergeCell ref="Y69:Z69"/>
    <mergeCell ref="AA69:AB69"/>
    <mergeCell ref="AC69:AD69"/>
    <mergeCell ref="AE69:AF69"/>
    <mergeCell ref="Y70:Z70"/>
    <mergeCell ref="AA70:AB70"/>
    <mergeCell ref="AC70:AD70"/>
    <mergeCell ref="AE70:AF70"/>
    <mergeCell ref="Y71:Z71"/>
    <mergeCell ref="AA71:AB71"/>
    <mergeCell ref="AC71:AD71"/>
    <mergeCell ref="AE71:AF71"/>
    <mergeCell ref="Y62:Z62"/>
    <mergeCell ref="AA62:AB62"/>
    <mergeCell ref="AC62:AD62"/>
    <mergeCell ref="AE62:AF62"/>
    <mergeCell ref="AG62:AH66"/>
    <mergeCell ref="Y63:Z63"/>
    <mergeCell ref="AA63:AB63"/>
    <mergeCell ref="AC63:AD63"/>
    <mergeCell ref="AE63:AF63"/>
    <mergeCell ref="Y64:Z64"/>
    <mergeCell ref="AA64:AB64"/>
    <mergeCell ref="AC64:AD64"/>
    <mergeCell ref="AE64:AF64"/>
    <mergeCell ref="Y65:Z65"/>
    <mergeCell ref="AA65:AB65"/>
    <mergeCell ref="AC65:AD65"/>
    <mergeCell ref="AE65:AF65"/>
    <mergeCell ref="Y66:Z66"/>
    <mergeCell ref="AA66:AB66"/>
    <mergeCell ref="AC66:AD66"/>
    <mergeCell ref="AE66:AF66"/>
    <mergeCell ref="Y57:Z57"/>
    <mergeCell ref="AA57:AB57"/>
    <mergeCell ref="AC57:AD57"/>
    <mergeCell ref="AE57:AF57"/>
    <mergeCell ref="AG57:AH61"/>
    <mergeCell ref="Y58:Z58"/>
    <mergeCell ref="AA58:AB58"/>
    <mergeCell ref="AC58:AD58"/>
    <mergeCell ref="AE58:AF58"/>
    <mergeCell ref="Y59:Z59"/>
    <mergeCell ref="AA59:AB59"/>
    <mergeCell ref="AC59:AD59"/>
    <mergeCell ref="AE59:AF59"/>
    <mergeCell ref="Y60:Z60"/>
    <mergeCell ref="AA60:AB60"/>
    <mergeCell ref="AC60:AD60"/>
    <mergeCell ref="AE60:AF60"/>
    <mergeCell ref="Y61:Z61"/>
    <mergeCell ref="AA61:AB61"/>
    <mergeCell ref="AC61:AD61"/>
    <mergeCell ref="AE61:AF61"/>
    <mergeCell ref="Y52:Z52"/>
    <mergeCell ref="AA52:AB52"/>
    <mergeCell ref="AC52:AD52"/>
    <mergeCell ref="AE52:AF52"/>
    <mergeCell ref="AG52:AH56"/>
    <mergeCell ref="Y53:Z53"/>
    <mergeCell ref="AA53:AB53"/>
    <mergeCell ref="AC53:AD53"/>
    <mergeCell ref="AE53:AF53"/>
    <mergeCell ref="Y54:Z54"/>
    <mergeCell ref="AA54:AB54"/>
    <mergeCell ref="AC54:AD54"/>
    <mergeCell ref="AE54:AF54"/>
    <mergeCell ref="Y55:Z55"/>
    <mergeCell ref="AA55:AB55"/>
    <mergeCell ref="AC55:AD55"/>
    <mergeCell ref="AE55:AF55"/>
    <mergeCell ref="Y56:Z56"/>
    <mergeCell ref="AA56:AB56"/>
    <mergeCell ref="AC56:AD56"/>
    <mergeCell ref="AE56:AF56"/>
    <mergeCell ref="Y47:Z47"/>
    <mergeCell ref="AA47:AB47"/>
    <mergeCell ref="AC47:AD47"/>
    <mergeCell ref="AE47:AF47"/>
    <mergeCell ref="AG47:AH51"/>
    <mergeCell ref="Y48:Z48"/>
    <mergeCell ref="AA48:AB48"/>
    <mergeCell ref="AC48:AD48"/>
    <mergeCell ref="AE48:AF48"/>
    <mergeCell ref="Y49:Z49"/>
    <mergeCell ref="AA49:AB49"/>
    <mergeCell ref="AC49:AD49"/>
    <mergeCell ref="AE49:AF49"/>
    <mergeCell ref="Y50:Z50"/>
    <mergeCell ref="AA50:AB50"/>
    <mergeCell ref="AC50:AD50"/>
    <mergeCell ref="AE50:AF50"/>
    <mergeCell ref="Y51:Z51"/>
    <mergeCell ref="AA51:AB51"/>
    <mergeCell ref="AC51:AD51"/>
    <mergeCell ref="AE51:AF51"/>
    <mergeCell ref="Y42:Z42"/>
    <mergeCell ref="AA42:AB42"/>
    <mergeCell ref="AC42:AD42"/>
    <mergeCell ref="AE42:AF42"/>
    <mergeCell ref="AG42:AH46"/>
    <mergeCell ref="Y43:Z43"/>
    <mergeCell ref="AA43:AB43"/>
    <mergeCell ref="AC43:AD43"/>
    <mergeCell ref="AE43:AF43"/>
    <mergeCell ref="Y44:Z44"/>
    <mergeCell ref="AA44:AB44"/>
    <mergeCell ref="AC44:AD44"/>
    <mergeCell ref="AE44:AF44"/>
    <mergeCell ref="Y45:Z45"/>
    <mergeCell ref="AA45:AB45"/>
    <mergeCell ref="AC45:AD45"/>
    <mergeCell ref="AE45:AF45"/>
    <mergeCell ref="Y46:Z46"/>
    <mergeCell ref="AA46:AB46"/>
    <mergeCell ref="AC46:AD46"/>
    <mergeCell ref="AE46:AF46"/>
    <mergeCell ref="Y37:Z37"/>
    <mergeCell ref="AA37:AB37"/>
    <mergeCell ref="AC37:AD37"/>
    <mergeCell ref="AE37:AF37"/>
    <mergeCell ref="AG37:AH41"/>
    <mergeCell ref="Y38:Z38"/>
    <mergeCell ref="AA38:AB38"/>
    <mergeCell ref="AC38:AD38"/>
    <mergeCell ref="AE38:AF38"/>
    <mergeCell ref="Y39:Z39"/>
    <mergeCell ref="AA39:AB39"/>
    <mergeCell ref="AC39:AD39"/>
    <mergeCell ref="AE39:AF39"/>
    <mergeCell ref="Y40:Z40"/>
    <mergeCell ref="AA40:AB40"/>
    <mergeCell ref="AC40:AD40"/>
    <mergeCell ref="AE40:AF40"/>
    <mergeCell ref="Y41:Z41"/>
    <mergeCell ref="AA41:AB41"/>
    <mergeCell ref="AC41:AD41"/>
    <mergeCell ref="AE41:AF41"/>
    <mergeCell ref="Y32:Z32"/>
    <mergeCell ref="AA32:AB32"/>
    <mergeCell ref="AC32:AD32"/>
    <mergeCell ref="AE32:AF32"/>
    <mergeCell ref="AG32:AH36"/>
    <mergeCell ref="Y33:Z33"/>
    <mergeCell ref="AA33:AB33"/>
    <mergeCell ref="AC33:AD33"/>
    <mergeCell ref="AE33:AF33"/>
    <mergeCell ref="Y34:Z34"/>
    <mergeCell ref="AA34:AB34"/>
    <mergeCell ref="AC34:AD34"/>
    <mergeCell ref="AE34:AF34"/>
    <mergeCell ref="Y35:Z35"/>
    <mergeCell ref="AA35:AB35"/>
    <mergeCell ref="AC35:AD35"/>
    <mergeCell ref="AE35:AF35"/>
    <mergeCell ref="Y36:Z36"/>
    <mergeCell ref="AA36:AB36"/>
    <mergeCell ref="AC36:AD36"/>
    <mergeCell ref="AE36:AF36"/>
    <mergeCell ref="Y27:Z27"/>
    <mergeCell ref="AA27:AB27"/>
    <mergeCell ref="AC27:AD27"/>
    <mergeCell ref="AE27:AF27"/>
    <mergeCell ref="AG27:AH31"/>
    <mergeCell ref="Y28:Z28"/>
    <mergeCell ref="AA28:AB28"/>
    <mergeCell ref="AC28:AD28"/>
    <mergeCell ref="AE28:AF28"/>
    <mergeCell ref="Y29:Z29"/>
    <mergeCell ref="AA29:AB29"/>
    <mergeCell ref="AC29:AD29"/>
    <mergeCell ref="AE29:AF29"/>
    <mergeCell ref="Y30:Z30"/>
    <mergeCell ref="AA30:AB30"/>
    <mergeCell ref="AC30:AD30"/>
    <mergeCell ref="AE30:AF30"/>
    <mergeCell ref="Y31:Z31"/>
    <mergeCell ref="AA31:AB31"/>
    <mergeCell ref="AC31:AD31"/>
    <mergeCell ref="AE31:AF31"/>
    <mergeCell ref="Y22:Z22"/>
    <mergeCell ref="AA22:AB22"/>
    <mergeCell ref="AC22:AD22"/>
    <mergeCell ref="AE22:AF22"/>
    <mergeCell ref="AG22:AH26"/>
    <mergeCell ref="Y23:Z23"/>
    <mergeCell ref="AA23:AB23"/>
    <mergeCell ref="AC23:AD23"/>
    <mergeCell ref="AE23:AF23"/>
    <mergeCell ref="Y24:Z24"/>
    <mergeCell ref="AA24:AB24"/>
    <mergeCell ref="AC24:AD24"/>
    <mergeCell ref="AE24:AF24"/>
    <mergeCell ref="Y25:Z25"/>
    <mergeCell ref="AA25:AB25"/>
    <mergeCell ref="AC25:AD25"/>
    <mergeCell ref="AE25:AF25"/>
    <mergeCell ref="Y26:Z26"/>
    <mergeCell ref="AA26:AB26"/>
    <mergeCell ref="AC26:AD26"/>
    <mergeCell ref="AE26:AF26"/>
    <mergeCell ref="Y17:Z17"/>
    <mergeCell ref="AA17:AB17"/>
    <mergeCell ref="AC17:AD17"/>
    <mergeCell ref="AE17:AF17"/>
    <mergeCell ref="AG17:AH21"/>
    <mergeCell ref="Y18:Z18"/>
    <mergeCell ref="AA18:AB18"/>
    <mergeCell ref="AC18:AD18"/>
    <mergeCell ref="AE18:AF18"/>
    <mergeCell ref="Y19:Z19"/>
    <mergeCell ref="AA19:AB19"/>
    <mergeCell ref="AC19:AD19"/>
    <mergeCell ref="AE19:AF19"/>
    <mergeCell ref="Y20:Z20"/>
    <mergeCell ref="AA20:AB20"/>
    <mergeCell ref="AC20:AD20"/>
    <mergeCell ref="AE20:AF20"/>
    <mergeCell ref="Y21:Z21"/>
    <mergeCell ref="AA21:AB21"/>
    <mergeCell ref="AC21:AD21"/>
    <mergeCell ref="AE21:AF21"/>
    <mergeCell ref="Y12:Z12"/>
    <mergeCell ref="AA12:AB12"/>
    <mergeCell ref="AC12:AD12"/>
    <mergeCell ref="AE12:AF12"/>
    <mergeCell ref="AG12:AH16"/>
    <mergeCell ref="Y13:Z13"/>
    <mergeCell ref="AA13:AB13"/>
    <mergeCell ref="AC13:AD13"/>
    <mergeCell ref="AE13:AF13"/>
    <mergeCell ref="Y14:Z14"/>
    <mergeCell ref="AA14:AB14"/>
    <mergeCell ref="AC14:AD14"/>
    <mergeCell ref="AE14:AF14"/>
    <mergeCell ref="Y15:Z15"/>
    <mergeCell ref="AA15:AB15"/>
    <mergeCell ref="AC15:AD15"/>
    <mergeCell ref="AE15:AF15"/>
    <mergeCell ref="Y16:Z16"/>
    <mergeCell ref="AA16:AB16"/>
    <mergeCell ref="AC16:AD16"/>
    <mergeCell ref="AE16:AF16"/>
    <mergeCell ref="Y7:Z7"/>
    <mergeCell ref="AA7:AB7"/>
    <mergeCell ref="AC7:AD7"/>
    <mergeCell ref="AE7:AF7"/>
    <mergeCell ref="AG7:AH11"/>
    <mergeCell ref="Y8:Z8"/>
    <mergeCell ref="AA8:AB8"/>
    <mergeCell ref="AC8:AD8"/>
    <mergeCell ref="AE8:AF8"/>
    <mergeCell ref="Y9:Z9"/>
    <mergeCell ref="AA9:AB9"/>
    <mergeCell ref="AC9:AD9"/>
    <mergeCell ref="AE9:AF9"/>
    <mergeCell ref="Y10:Z10"/>
    <mergeCell ref="AA10:AB10"/>
    <mergeCell ref="AC10:AD10"/>
    <mergeCell ref="AE10:AF10"/>
    <mergeCell ref="Y11:Z11"/>
    <mergeCell ref="AA11:AB11"/>
    <mergeCell ref="AC11:AD11"/>
    <mergeCell ref="AE11:AF11"/>
    <mergeCell ref="Y1:Z1"/>
    <mergeCell ref="AA1:AB1"/>
    <mergeCell ref="AC1:AD1"/>
    <mergeCell ref="AE1:AF1"/>
    <mergeCell ref="AG1:AH1"/>
    <mergeCell ref="Y2:Z2"/>
    <mergeCell ref="AA2:AB2"/>
    <mergeCell ref="AC2:AD2"/>
    <mergeCell ref="AE2:AF2"/>
    <mergeCell ref="AG2:AH6"/>
    <mergeCell ref="Y3:Z3"/>
    <mergeCell ref="AA3:AB3"/>
    <mergeCell ref="AC3:AD3"/>
    <mergeCell ref="AE3:AF3"/>
    <mergeCell ref="Y4:Z4"/>
    <mergeCell ref="AA4:AB4"/>
    <mergeCell ref="AC4:AD4"/>
    <mergeCell ref="AE4:AF4"/>
    <mergeCell ref="Y5:Z5"/>
    <mergeCell ref="AA5:AB5"/>
    <mergeCell ref="AC5:AD5"/>
    <mergeCell ref="AE5:AF5"/>
    <mergeCell ref="Y6:Z6"/>
    <mergeCell ref="AA6:AB6"/>
    <mergeCell ref="AC6:AD6"/>
    <mergeCell ref="AE6:AF6"/>
    <mergeCell ref="M1:N1"/>
    <mergeCell ref="O1:P1"/>
    <mergeCell ref="Q1:R1"/>
    <mergeCell ref="S1:T1"/>
    <mergeCell ref="U1:V1"/>
    <mergeCell ref="M97:N97"/>
    <mergeCell ref="O97:P97"/>
    <mergeCell ref="Q97:R97"/>
    <mergeCell ref="S97:T97"/>
    <mergeCell ref="U97:V101"/>
    <mergeCell ref="M98:N98"/>
    <mergeCell ref="O98:P98"/>
    <mergeCell ref="Q98:R98"/>
    <mergeCell ref="S98:T98"/>
    <mergeCell ref="M99:N99"/>
    <mergeCell ref="O99:P99"/>
    <mergeCell ref="Q99:R99"/>
    <mergeCell ref="S99:T99"/>
    <mergeCell ref="M100:N100"/>
    <mergeCell ref="O100:P100"/>
    <mergeCell ref="Q100:R100"/>
    <mergeCell ref="S100:T100"/>
    <mergeCell ref="M101:N101"/>
    <mergeCell ref="O101:P101"/>
    <mergeCell ref="Q101:R101"/>
    <mergeCell ref="S101:T101"/>
    <mergeCell ref="M92:N92"/>
    <mergeCell ref="O92:P92"/>
    <mergeCell ref="Q92:R92"/>
    <mergeCell ref="S92:T92"/>
    <mergeCell ref="U92:V96"/>
    <mergeCell ref="M93:N93"/>
    <mergeCell ref="O93:P93"/>
    <mergeCell ref="Q93:R93"/>
    <mergeCell ref="S93:T93"/>
    <mergeCell ref="M94:N94"/>
    <mergeCell ref="O94:P94"/>
    <mergeCell ref="Q94:R94"/>
    <mergeCell ref="S94:T94"/>
    <mergeCell ref="M95:N95"/>
    <mergeCell ref="O95:P95"/>
    <mergeCell ref="Q95:R95"/>
    <mergeCell ref="S95:T95"/>
    <mergeCell ref="M96:N96"/>
    <mergeCell ref="O96:P96"/>
    <mergeCell ref="Q96:R96"/>
    <mergeCell ref="S96:T96"/>
    <mergeCell ref="M87:N87"/>
    <mergeCell ref="O87:P87"/>
    <mergeCell ref="Q87:R87"/>
    <mergeCell ref="S87:T87"/>
    <mergeCell ref="U87:V91"/>
    <mergeCell ref="M88:N88"/>
    <mergeCell ref="O88:P88"/>
    <mergeCell ref="Q88:R88"/>
    <mergeCell ref="S88:T88"/>
    <mergeCell ref="M89:N89"/>
    <mergeCell ref="O89:P89"/>
    <mergeCell ref="Q89:R89"/>
    <mergeCell ref="S89:T89"/>
    <mergeCell ref="M90:N90"/>
    <mergeCell ref="O90:P90"/>
    <mergeCell ref="Q90:R90"/>
    <mergeCell ref="S90:T90"/>
    <mergeCell ref="M91:N91"/>
    <mergeCell ref="O91:P91"/>
    <mergeCell ref="Q91:R91"/>
    <mergeCell ref="S91:T91"/>
    <mergeCell ref="M82:N82"/>
    <mergeCell ref="O82:P82"/>
    <mergeCell ref="Q82:R82"/>
    <mergeCell ref="S82:T82"/>
    <mergeCell ref="U82:V86"/>
    <mergeCell ref="M83:N83"/>
    <mergeCell ref="O83:P83"/>
    <mergeCell ref="Q83:R83"/>
    <mergeCell ref="S83:T83"/>
    <mergeCell ref="M84:N84"/>
    <mergeCell ref="O84:P84"/>
    <mergeCell ref="Q84:R84"/>
    <mergeCell ref="S84:T84"/>
    <mergeCell ref="M85:N85"/>
    <mergeCell ref="O85:P85"/>
    <mergeCell ref="Q85:R85"/>
    <mergeCell ref="S85:T85"/>
    <mergeCell ref="M86:N86"/>
    <mergeCell ref="O86:P86"/>
    <mergeCell ref="Q86:R86"/>
    <mergeCell ref="S86:T86"/>
    <mergeCell ref="A97:B97"/>
    <mergeCell ref="C97:D97"/>
    <mergeCell ref="E97:F97"/>
    <mergeCell ref="G97:H97"/>
    <mergeCell ref="I97:J101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92:B92"/>
    <mergeCell ref="C92:D92"/>
    <mergeCell ref="E92:F92"/>
    <mergeCell ref="G92:H92"/>
    <mergeCell ref="I92:J96"/>
    <mergeCell ref="A93:B93"/>
    <mergeCell ref="C93:D93"/>
    <mergeCell ref="E93:F93"/>
    <mergeCell ref="G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87:B87"/>
    <mergeCell ref="C87:D87"/>
    <mergeCell ref="E87:F87"/>
    <mergeCell ref="G87:H87"/>
    <mergeCell ref="I87:J91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82:B82"/>
    <mergeCell ref="C82:D82"/>
    <mergeCell ref="E82:F82"/>
    <mergeCell ref="G82:H82"/>
    <mergeCell ref="I82:J86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M77:N77"/>
    <mergeCell ref="O77:P77"/>
    <mergeCell ref="Q77:R77"/>
    <mergeCell ref="S77:T77"/>
    <mergeCell ref="U77:V81"/>
    <mergeCell ref="M78:N78"/>
    <mergeCell ref="O78:P78"/>
    <mergeCell ref="Q78:R78"/>
    <mergeCell ref="S78:T78"/>
    <mergeCell ref="M79:N79"/>
    <mergeCell ref="O79:P79"/>
    <mergeCell ref="Q79:R79"/>
    <mergeCell ref="S79:T79"/>
    <mergeCell ref="M80:N80"/>
    <mergeCell ref="O80:P80"/>
    <mergeCell ref="Q80:R80"/>
    <mergeCell ref="S80:T80"/>
    <mergeCell ref="M81:N81"/>
    <mergeCell ref="O81:P81"/>
    <mergeCell ref="Q81:R81"/>
    <mergeCell ref="S81:T81"/>
    <mergeCell ref="M72:N72"/>
    <mergeCell ref="O72:P72"/>
    <mergeCell ref="Q72:R72"/>
    <mergeCell ref="S72:T72"/>
    <mergeCell ref="U72:V76"/>
    <mergeCell ref="M73:N73"/>
    <mergeCell ref="O73:P73"/>
    <mergeCell ref="Q73:R73"/>
    <mergeCell ref="S73:T73"/>
    <mergeCell ref="M74:N74"/>
    <mergeCell ref="O74:P74"/>
    <mergeCell ref="Q74:R74"/>
    <mergeCell ref="S74:T74"/>
    <mergeCell ref="M75:N75"/>
    <mergeCell ref="O75:P75"/>
    <mergeCell ref="Q75:R75"/>
    <mergeCell ref="S75:T75"/>
    <mergeCell ref="M76:N76"/>
    <mergeCell ref="O76:P76"/>
    <mergeCell ref="Q76:R76"/>
    <mergeCell ref="S76:T76"/>
    <mergeCell ref="M67:N67"/>
    <mergeCell ref="O67:P67"/>
    <mergeCell ref="Q67:R67"/>
    <mergeCell ref="S67:T67"/>
    <mergeCell ref="U67:V71"/>
    <mergeCell ref="M68:N68"/>
    <mergeCell ref="O68:P68"/>
    <mergeCell ref="Q68:R68"/>
    <mergeCell ref="S68:T68"/>
    <mergeCell ref="M69:N69"/>
    <mergeCell ref="O69:P69"/>
    <mergeCell ref="Q69:R69"/>
    <mergeCell ref="S69:T69"/>
    <mergeCell ref="M70:N70"/>
    <mergeCell ref="O70:P70"/>
    <mergeCell ref="Q70:R70"/>
    <mergeCell ref="S70:T70"/>
    <mergeCell ref="M71:N71"/>
    <mergeCell ref="O71:P71"/>
    <mergeCell ref="Q71:R71"/>
    <mergeCell ref="S71:T71"/>
    <mergeCell ref="M62:N62"/>
    <mergeCell ref="O62:P62"/>
    <mergeCell ref="Q62:R62"/>
    <mergeCell ref="S62:T62"/>
    <mergeCell ref="U62:V66"/>
    <mergeCell ref="M63:N63"/>
    <mergeCell ref="O63:P63"/>
    <mergeCell ref="Q63:R63"/>
    <mergeCell ref="S63:T63"/>
    <mergeCell ref="M64:N64"/>
    <mergeCell ref="O64:P64"/>
    <mergeCell ref="Q64:R64"/>
    <mergeCell ref="S64:T64"/>
    <mergeCell ref="M65:N65"/>
    <mergeCell ref="O65:P65"/>
    <mergeCell ref="Q65:R65"/>
    <mergeCell ref="S65:T65"/>
    <mergeCell ref="M66:N66"/>
    <mergeCell ref="O66:P66"/>
    <mergeCell ref="Q66:R66"/>
    <mergeCell ref="S66:T66"/>
    <mergeCell ref="M57:N57"/>
    <mergeCell ref="O57:P57"/>
    <mergeCell ref="Q57:R57"/>
    <mergeCell ref="S57:T57"/>
    <mergeCell ref="U57:V61"/>
    <mergeCell ref="M58:N58"/>
    <mergeCell ref="O58:P58"/>
    <mergeCell ref="Q58:R58"/>
    <mergeCell ref="S58:T58"/>
    <mergeCell ref="M59:N59"/>
    <mergeCell ref="O59:P59"/>
    <mergeCell ref="Q59:R59"/>
    <mergeCell ref="S59:T59"/>
    <mergeCell ref="M60:N60"/>
    <mergeCell ref="O60:P60"/>
    <mergeCell ref="Q60:R60"/>
    <mergeCell ref="S60:T60"/>
    <mergeCell ref="M61:N61"/>
    <mergeCell ref="O61:P61"/>
    <mergeCell ref="Q61:R61"/>
    <mergeCell ref="S61:T61"/>
    <mergeCell ref="M52:N52"/>
    <mergeCell ref="O52:P52"/>
    <mergeCell ref="Q52:R52"/>
    <mergeCell ref="S52:T52"/>
    <mergeCell ref="U52:V56"/>
    <mergeCell ref="M53:N53"/>
    <mergeCell ref="O53:P53"/>
    <mergeCell ref="Q53:R53"/>
    <mergeCell ref="S53:T53"/>
    <mergeCell ref="M54:N54"/>
    <mergeCell ref="O54:P54"/>
    <mergeCell ref="Q54:R54"/>
    <mergeCell ref="S54:T54"/>
    <mergeCell ref="M55:N55"/>
    <mergeCell ref="O55:P55"/>
    <mergeCell ref="Q55:R55"/>
    <mergeCell ref="S55:T55"/>
    <mergeCell ref="M56:N56"/>
    <mergeCell ref="O56:P56"/>
    <mergeCell ref="Q56:R56"/>
    <mergeCell ref="S56:T56"/>
    <mergeCell ref="M47:N47"/>
    <mergeCell ref="O47:P47"/>
    <mergeCell ref="Q47:R47"/>
    <mergeCell ref="S47:T47"/>
    <mergeCell ref="U47:V51"/>
    <mergeCell ref="M48:N48"/>
    <mergeCell ref="O48:P48"/>
    <mergeCell ref="Q48:R48"/>
    <mergeCell ref="S48:T48"/>
    <mergeCell ref="M49:N49"/>
    <mergeCell ref="O49:P49"/>
    <mergeCell ref="Q49:R49"/>
    <mergeCell ref="S49:T49"/>
    <mergeCell ref="M50:N50"/>
    <mergeCell ref="O50:P50"/>
    <mergeCell ref="Q50:R50"/>
    <mergeCell ref="S50:T50"/>
    <mergeCell ref="M51:N51"/>
    <mergeCell ref="O51:P51"/>
    <mergeCell ref="Q51:R51"/>
    <mergeCell ref="S51:T51"/>
    <mergeCell ref="M42:N42"/>
    <mergeCell ref="O42:P42"/>
    <mergeCell ref="Q42:R42"/>
    <mergeCell ref="S42:T42"/>
    <mergeCell ref="U42:V46"/>
    <mergeCell ref="M43:N43"/>
    <mergeCell ref="O43:P43"/>
    <mergeCell ref="Q43:R43"/>
    <mergeCell ref="S43:T43"/>
    <mergeCell ref="M44:N44"/>
    <mergeCell ref="O44:P44"/>
    <mergeCell ref="Q44:R44"/>
    <mergeCell ref="S44:T44"/>
    <mergeCell ref="M45:N45"/>
    <mergeCell ref="O45:P45"/>
    <mergeCell ref="Q45:R45"/>
    <mergeCell ref="S45:T45"/>
    <mergeCell ref="M46:N46"/>
    <mergeCell ref="O46:P46"/>
    <mergeCell ref="Q46:R46"/>
    <mergeCell ref="S46:T46"/>
    <mergeCell ref="M37:N37"/>
    <mergeCell ref="O37:P37"/>
    <mergeCell ref="Q37:R37"/>
    <mergeCell ref="S37:T37"/>
    <mergeCell ref="U37:V41"/>
    <mergeCell ref="M38:N38"/>
    <mergeCell ref="O38:P38"/>
    <mergeCell ref="Q38:R38"/>
    <mergeCell ref="S38:T38"/>
    <mergeCell ref="M39:N39"/>
    <mergeCell ref="O39:P39"/>
    <mergeCell ref="Q39:R39"/>
    <mergeCell ref="S39:T39"/>
    <mergeCell ref="M40:N40"/>
    <mergeCell ref="O40:P40"/>
    <mergeCell ref="Q40:R40"/>
    <mergeCell ref="S40:T40"/>
    <mergeCell ref="M41:N41"/>
    <mergeCell ref="O41:P41"/>
    <mergeCell ref="Q41:R41"/>
    <mergeCell ref="S41:T41"/>
    <mergeCell ref="M32:N32"/>
    <mergeCell ref="O32:P32"/>
    <mergeCell ref="Q32:R32"/>
    <mergeCell ref="S32:T32"/>
    <mergeCell ref="U32:V36"/>
    <mergeCell ref="M33:N33"/>
    <mergeCell ref="O33:P33"/>
    <mergeCell ref="Q33:R33"/>
    <mergeCell ref="S33:T33"/>
    <mergeCell ref="M34:N34"/>
    <mergeCell ref="O34:P34"/>
    <mergeCell ref="Q34:R34"/>
    <mergeCell ref="S34:T34"/>
    <mergeCell ref="M35:N35"/>
    <mergeCell ref="O35:P35"/>
    <mergeCell ref="Q35:R35"/>
    <mergeCell ref="S35:T35"/>
    <mergeCell ref="M36:N36"/>
    <mergeCell ref="O36:P36"/>
    <mergeCell ref="Q36:R36"/>
    <mergeCell ref="S36:T36"/>
    <mergeCell ref="M27:N27"/>
    <mergeCell ref="O27:P27"/>
    <mergeCell ref="Q27:R27"/>
    <mergeCell ref="S27:T27"/>
    <mergeCell ref="U27:V31"/>
    <mergeCell ref="M28:N28"/>
    <mergeCell ref="O28:P28"/>
    <mergeCell ref="Q28:R28"/>
    <mergeCell ref="S28:T28"/>
    <mergeCell ref="M29:N29"/>
    <mergeCell ref="O29:P29"/>
    <mergeCell ref="Q29:R29"/>
    <mergeCell ref="S29:T29"/>
    <mergeCell ref="M30:N30"/>
    <mergeCell ref="O30:P30"/>
    <mergeCell ref="Q30:R30"/>
    <mergeCell ref="S30:T30"/>
    <mergeCell ref="M31:N31"/>
    <mergeCell ref="O31:P31"/>
    <mergeCell ref="Q31:R31"/>
    <mergeCell ref="S31:T31"/>
    <mergeCell ref="M22:N22"/>
    <mergeCell ref="O22:P22"/>
    <mergeCell ref="Q22:R22"/>
    <mergeCell ref="S22:T22"/>
    <mergeCell ref="U22:V26"/>
    <mergeCell ref="M23:N23"/>
    <mergeCell ref="O23:P23"/>
    <mergeCell ref="Q23:R23"/>
    <mergeCell ref="S23:T23"/>
    <mergeCell ref="M24:N24"/>
    <mergeCell ref="O24:P24"/>
    <mergeCell ref="Q24:R24"/>
    <mergeCell ref="S24:T24"/>
    <mergeCell ref="M25:N25"/>
    <mergeCell ref="O25:P25"/>
    <mergeCell ref="Q25:R25"/>
    <mergeCell ref="S25:T25"/>
    <mergeCell ref="M26:N26"/>
    <mergeCell ref="O26:P26"/>
    <mergeCell ref="Q26:R26"/>
    <mergeCell ref="S26:T26"/>
    <mergeCell ref="M17:N17"/>
    <mergeCell ref="O17:P17"/>
    <mergeCell ref="Q17:R17"/>
    <mergeCell ref="S17:T17"/>
    <mergeCell ref="U17:V21"/>
    <mergeCell ref="M18:N18"/>
    <mergeCell ref="O18:P18"/>
    <mergeCell ref="Q18:R18"/>
    <mergeCell ref="S18:T18"/>
    <mergeCell ref="M19:N19"/>
    <mergeCell ref="O19:P19"/>
    <mergeCell ref="Q19:R19"/>
    <mergeCell ref="S19:T19"/>
    <mergeCell ref="M20:N20"/>
    <mergeCell ref="O20:P20"/>
    <mergeCell ref="Q20:R20"/>
    <mergeCell ref="S20:T20"/>
    <mergeCell ref="M21:N21"/>
    <mergeCell ref="O21:P21"/>
    <mergeCell ref="Q21:R21"/>
    <mergeCell ref="S21:T21"/>
    <mergeCell ref="M12:N12"/>
    <mergeCell ref="O12:P12"/>
    <mergeCell ref="Q12:R12"/>
    <mergeCell ref="S12:T12"/>
    <mergeCell ref="U12:V16"/>
    <mergeCell ref="M13:N13"/>
    <mergeCell ref="O13:P13"/>
    <mergeCell ref="Q13:R13"/>
    <mergeCell ref="S13:T13"/>
    <mergeCell ref="M14:N14"/>
    <mergeCell ref="O14:P14"/>
    <mergeCell ref="Q14:R14"/>
    <mergeCell ref="S14:T14"/>
    <mergeCell ref="M15:N15"/>
    <mergeCell ref="O15:P15"/>
    <mergeCell ref="Q15:R15"/>
    <mergeCell ref="S15:T15"/>
    <mergeCell ref="M16:N16"/>
    <mergeCell ref="O16:P16"/>
    <mergeCell ref="Q16:R16"/>
    <mergeCell ref="S16:T16"/>
    <mergeCell ref="M7:N7"/>
    <mergeCell ref="O7:P7"/>
    <mergeCell ref="Q7:R7"/>
    <mergeCell ref="S7:T7"/>
    <mergeCell ref="U7:V11"/>
    <mergeCell ref="M8:N8"/>
    <mergeCell ref="O8:P8"/>
    <mergeCell ref="Q8:R8"/>
    <mergeCell ref="S8:T8"/>
    <mergeCell ref="M9:N9"/>
    <mergeCell ref="O9:P9"/>
    <mergeCell ref="Q9:R9"/>
    <mergeCell ref="S9:T9"/>
    <mergeCell ref="M10:N10"/>
    <mergeCell ref="O10:P10"/>
    <mergeCell ref="Q10:R10"/>
    <mergeCell ref="S10:T10"/>
    <mergeCell ref="M11:N11"/>
    <mergeCell ref="O11:P11"/>
    <mergeCell ref="Q11:R11"/>
    <mergeCell ref="S11:T11"/>
    <mergeCell ref="O3:P3"/>
    <mergeCell ref="M2:N2"/>
    <mergeCell ref="O2:P2"/>
    <mergeCell ref="Q2:R2"/>
    <mergeCell ref="S2:T2"/>
    <mergeCell ref="U2:V6"/>
    <mergeCell ref="M3:N3"/>
    <mergeCell ref="Q3:R3"/>
    <mergeCell ref="S3:T3"/>
    <mergeCell ref="M4:N4"/>
    <mergeCell ref="O4:P4"/>
    <mergeCell ref="Q4:R4"/>
    <mergeCell ref="S4:T4"/>
    <mergeCell ref="M5:N5"/>
    <mergeCell ref="O5:P5"/>
    <mergeCell ref="Q5:R5"/>
    <mergeCell ref="S5:T5"/>
    <mergeCell ref="M6:N6"/>
    <mergeCell ref="O6:P6"/>
    <mergeCell ref="Q6:R6"/>
    <mergeCell ref="S6:T6"/>
    <mergeCell ref="A77:B77"/>
    <mergeCell ref="C77:D77"/>
    <mergeCell ref="E77:F77"/>
    <mergeCell ref="G77:H77"/>
    <mergeCell ref="I77:J81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72:B72"/>
    <mergeCell ref="C72:D72"/>
    <mergeCell ref="E72:F72"/>
    <mergeCell ref="G72:H72"/>
    <mergeCell ref="I72:J76"/>
    <mergeCell ref="A73:B73"/>
    <mergeCell ref="C73:D73"/>
    <mergeCell ref="E73:F73"/>
    <mergeCell ref="G73:H73"/>
    <mergeCell ref="A74:B74"/>
    <mergeCell ref="C74:D74"/>
    <mergeCell ref="E74:F74"/>
    <mergeCell ref="G74:H74"/>
    <mergeCell ref="A75:B75"/>
    <mergeCell ref="C75:D75"/>
    <mergeCell ref="E75:F75"/>
    <mergeCell ref="G75:H75"/>
    <mergeCell ref="A76:B76"/>
    <mergeCell ref="C76:D76"/>
    <mergeCell ref="E76:F76"/>
    <mergeCell ref="G76:H76"/>
    <mergeCell ref="A67:B67"/>
    <mergeCell ref="C67:D67"/>
    <mergeCell ref="E67:F67"/>
    <mergeCell ref="G67:H67"/>
    <mergeCell ref="I67:J71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E10:F10"/>
    <mergeCell ref="C11:D11"/>
    <mergeCell ref="E11:F11"/>
    <mergeCell ref="A62:B62"/>
    <mergeCell ref="C62:D62"/>
    <mergeCell ref="E62:F62"/>
    <mergeCell ref="G62:H62"/>
    <mergeCell ref="I62:J66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G1:H1"/>
    <mergeCell ref="G2:H2"/>
    <mergeCell ref="G3:H3"/>
    <mergeCell ref="G4:H4"/>
    <mergeCell ref="G5:H5"/>
    <mergeCell ref="C13:D13"/>
    <mergeCell ref="E13:F13"/>
    <mergeCell ref="C14:D14"/>
    <mergeCell ref="E14:F14"/>
    <mergeCell ref="E5:F5"/>
    <mergeCell ref="C6:D6"/>
    <mergeCell ref="E6:F6"/>
    <mergeCell ref="C7:D7"/>
    <mergeCell ref="E7:F7"/>
    <mergeCell ref="C8:D8"/>
    <mergeCell ref="E8:F8"/>
    <mergeCell ref="A1:B1"/>
    <mergeCell ref="C1:D1"/>
    <mergeCell ref="E1:F1"/>
    <mergeCell ref="A2:B2"/>
    <mergeCell ref="A3:B3"/>
    <mergeCell ref="A4:B4"/>
    <mergeCell ref="E2:F2"/>
    <mergeCell ref="E3:F3"/>
    <mergeCell ref="E4:F4"/>
    <mergeCell ref="A11:B11"/>
    <mergeCell ref="A12:B12"/>
    <mergeCell ref="A13:B13"/>
    <mergeCell ref="A14:B14"/>
    <mergeCell ref="C2:D2"/>
    <mergeCell ref="C3:D3"/>
    <mergeCell ref="C4:D4"/>
    <mergeCell ref="G25:H25"/>
    <mergeCell ref="A26:B26"/>
    <mergeCell ref="C26:D26"/>
    <mergeCell ref="E26:F26"/>
    <mergeCell ref="G26:H26"/>
    <mergeCell ref="A22:B22"/>
    <mergeCell ref="I1:J1"/>
    <mergeCell ref="A21:B21"/>
    <mergeCell ref="C21:D21"/>
    <mergeCell ref="E21:F21"/>
    <mergeCell ref="G21:H21"/>
    <mergeCell ref="A19:B19"/>
    <mergeCell ref="C19:D19"/>
    <mergeCell ref="E19:F19"/>
    <mergeCell ref="G19:H19"/>
    <mergeCell ref="A20:B20"/>
    <mergeCell ref="C20:D20"/>
    <mergeCell ref="E20:F20"/>
    <mergeCell ref="G20:H20"/>
    <mergeCell ref="A17:B17"/>
    <mergeCell ref="C17:D17"/>
    <mergeCell ref="E17:F17"/>
    <mergeCell ref="G17:H17"/>
    <mergeCell ref="A18:B18"/>
    <mergeCell ref="C18:D18"/>
    <mergeCell ref="E18:F18"/>
    <mergeCell ref="G18:H18"/>
    <mergeCell ref="G12:H12"/>
    <mergeCell ref="G13:H13"/>
    <mergeCell ref="G14:H14"/>
    <mergeCell ref="C12:D12"/>
    <mergeCell ref="E12:F12"/>
    <mergeCell ref="I2:J6"/>
    <mergeCell ref="I7:J11"/>
    <mergeCell ref="I12:J16"/>
    <mergeCell ref="I17:J21"/>
    <mergeCell ref="A23:B23"/>
    <mergeCell ref="C23:D23"/>
    <mergeCell ref="E23:F23"/>
    <mergeCell ref="G23:H23"/>
    <mergeCell ref="G15:H15"/>
    <mergeCell ref="A16:B16"/>
    <mergeCell ref="C16:D16"/>
    <mergeCell ref="E16:F16"/>
    <mergeCell ref="G16:H16"/>
    <mergeCell ref="G6:H6"/>
    <mergeCell ref="G7:H7"/>
    <mergeCell ref="G8:H8"/>
    <mergeCell ref="G9:H9"/>
    <mergeCell ref="G10:H10"/>
    <mergeCell ref="G11:H11"/>
    <mergeCell ref="A15:B15"/>
    <mergeCell ref="C5:D5"/>
    <mergeCell ref="C9:D9"/>
    <mergeCell ref="A5:B5"/>
    <mergeCell ref="A6:B6"/>
    <mergeCell ref="A7:B7"/>
    <mergeCell ref="A8:B8"/>
    <mergeCell ref="A9:B9"/>
    <mergeCell ref="A10:B10"/>
    <mergeCell ref="C15:D15"/>
    <mergeCell ref="E15:F15"/>
    <mergeCell ref="E9:F9"/>
    <mergeCell ref="C10:D10"/>
    <mergeCell ref="C22:D22"/>
    <mergeCell ref="E22:F22"/>
    <mergeCell ref="G22:H22"/>
    <mergeCell ref="I27:J31"/>
    <mergeCell ref="A28:B28"/>
    <mergeCell ref="C28:D28"/>
    <mergeCell ref="E28:F28"/>
    <mergeCell ref="G28:H28"/>
    <mergeCell ref="A29:B29"/>
    <mergeCell ref="A31:B31"/>
    <mergeCell ref="C31:D31"/>
    <mergeCell ref="E31:F31"/>
    <mergeCell ref="G31:H31"/>
    <mergeCell ref="C29:D29"/>
    <mergeCell ref="E29:F29"/>
    <mergeCell ref="G29:H29"/>
    <mergeCell ref="A30:B30"/>
    <mergeCell ref="C30:D30"/>
    <mergeCell ref="E30:F30"/>
    <mergeCell ref="G30:H30"/>
    <mergeCell ref="A27:B27"/>
    <mergeCell ref="C27:D27"/>
    <mergeCell ref="E27:F27"/>
    <mergeCell ref="G27:H27"/>
    <mergeCell ref="I22:J26"/>
    <mergeCell ref="A24:B24"/>
    <mergeCell ref="C24:D24"/>
    <mergeCell ref="E24:F24"/>
    <mergeCell ref="G24:H24"/>
    <mergeCell ref="A25:B25"/>
    <mergeCell ref="C25:D25"/>
    <mergeCell ref="E25:F25"/>
    <mergeCell ref="C35:D35"/>
    <mergeCell ref="E35:F35"/>
    <mergeCell ref="G35:H35"/>
    <mergeCell ref="A36:B36"/>
    <mergeCell ref="C36:D36"/>
    <mergeCell ref="E36:F36"/>
    <mergeCell ref="G36:H36"/>
    <mergeCell ref="I32:J36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A32:B32"/>
    <mergeCell ref="C32:D32"/>
    <mergeCell ref="E32:F32"/>
    <mergeCell ref="G32:H32"/>
    <mergeCell ref="A37:B37"/>
    <mergeCell ref="C37:D37"/>
    <mergeCell ref="E37:F37"/>
    <mergeCell ref="G37:H37"/>
    <mergeCell ref="I37:J41"/>
    <mergeCell ref="A38:B38"/>
    <mergeCell ref="C38:D38"/>
    <mergeCell ref="E38:F38"/>
    <mergeCell ref="G38:H38"/>
    <mergeCell ref="A39:B39"/>
    <mergeCell ref="A41:B41"/>
    <mergeCell ref="C41:D41"/>
    <mergeCell ref="E41:F41"/>
    <mergeCell ref="G41:H41"/>
    <mergeCell ref="A42:B42"/>
    <mergeCell ref="C42:D42"/>
    <mergeCell ref="E42:F42"/>
    <mergeCell ref="G42:H42"/>
    <mergeCell ref="C39:D39"/>
    <mergeCell ref="E39:F39"/>
    <mergeCell ref="G39:H39"/>
    <mergeCell ref="A40:B40"/>
    <mergeCell ref="C40:D40"/>
    <mergeCell ref="E40:F40"/>
    <mergeCell ref="G40:H40"/>
    <mergeCell ref="I47:J51"/>
    <mergeCell ref="A48:B48"/>
    <mergeCell ref="C48:D48"/>
    <mergeCell ref="G48:H48"/>
    <mergeCell ref="A49:B49"/>
    <mergeCell ref="C45:D45"/>
    <mergeCell ref="E45:F45"/>
    <mergeCell ref="G45:H45"/>
    <mergeCell ref="A46:B46"/>
    <mergeCell ref="C46:D46"/>
    <mergeCell ref="E46:F46"/>
    <mergeCell ref="G46:H46"/>
    <mergeCell ref="I42:J46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E48:F48"/>
    <mergeCell ref="G49:H49"/>
    <mergeCell ref="E49:F49"/>
    <mergeCell ref="C49:D49"/>
    <mergeCell ref="A50:B50"/>
    <mergeCell ref="C50:D50"/>
    <mergeCell ref="E50:F50"/>
    <mergeCell ref="G50:H50"/>
    <mergeCell ref="A47:B47"/>
    <mergeCell ref="C47:D47"/>
    <mergeCell ref="I57:J61"/>
    <mergeCell ref="A58:B58"/>
    <mergeCell ref="C58:D58"/>
    <mergeCell ref="E58:F58"/>
    <mergeCell ref="G58:H58"/>
    <mergeCell ref="A59:B59"/>
    <mergeCell ref="C55:D55"/>
    <mergeCell ref="E55:F55"/>
    <mergeCell ref="G55:H55"/>
    <mergeCell ref="A56:B56"/>
    <mergeCell ref="C56:D56"/>
    <mergeCell ref="E56:F56"/>
    <mergeCell ref="G56:H56"/>
    <mergeCell ref="I52:J56"/>
    <mergeCell ref="A53:B53"/>
    <mergeCell ref="C53:D53"/>
    <mergeCell ref="A61:B61"/>
    <mergeCell ref="C61:D61"/>
    <mergeCell ref="E61:F61"/>
    <mergeCell ref="G61:H61"/>
    <mergeCell ref="C59:D59"/>
    <mergeCell ref="E59:F59"/>
    <mergeCell ref="G59:H59"/>
    <mergeCell ref="A60:B60"/>
    <mergeCell ref="E47:F47"/>
    <mergeCell ref="G47:H47"/>
    <mergeCell ref="C60:D60"/>
    <mergeCell ref="E60:F60"/>
    <mergeCell ref="G60:H60"/>
    <mergeCell ref="A57:B57"/>
    <mergeCell ref="C57:D57"/>
    <mergeCell ref="E57:F57"/>
    <mergeCell ref="G57:H57"/>
    <mergeCell ref="A51:B51"/>
    <mergeCell ref="C51:D51"/>
    <mergeCell ref="E51:F51"/>
    <mergeCell ref="G51:H51"/>
    <mergeCell ref="C52:D52"/>
    <mergeCell ref="E52:F52"/>
    <mergeCell ref="G52:H52"/>
    <mergeCell ref="E53:F53"/>
    <mergeCell ref="G53:H53"/>
    <mergeCell ref="A54:B54"/>
    <mergeCell ref="C54:D54"/>
    <mergeCell ref="E54:F54"/>
    <mergeCell ref="G54:H54"/>
    <mergeCell ref="A55:B55"/>
    <mergeCell ref="A52:B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Macro1</vt:lpstr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leventerastovits@gmail.com</dc:creator>
  <cp:keywords/>
  <dc:description/>
  <cp:lastModifiedBy>leventerastovits@gmail.com</cp:lastModifiedBy>
  <cp:revision/>
  <dcterms:created xsi:type="dcterms:W3CDTF">2025-11-17T18:20:37Z</dcterms:created>
  <dcterms:modified xsi:type="dcterms:W3CDTF">2025-11-22T14:15:35Z</dcterms:modified>
  <cp:category/>
  <cp:contentStatus/>
</cp:coreProperties>
</file>