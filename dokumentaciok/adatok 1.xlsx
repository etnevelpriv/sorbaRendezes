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Documents\Suli\Projektmunka\sorbaRendezes\sorbaRendezes\dokumentaciok\"/>
    </mc:Choice>
  </mc:AlternateContent>
  <xr:revisionPtr revIDLastSave="0" documentId="13_ncr:1_{75FEC4BF-51E0-4319-9F0F-563478C22016}" xr6:coauthVersionLast="47" xr6:coauthVersionMax="47" xr10:uidLastSave="{00000000-0000-0000-0000-000000000000}"/>
  <bookViews>
    <workbookView xWindow="-108" yWindow="-108" windowWidth="23256" windowHeight="13896" tabRatio="532" activeTab="1" xr2:uid="{2BF08F55-0920-46C7-8FB4-3D2C5D80233D}"/>
  </bookViews>
  <sheets>
    <sheet name="Macro1" sheetId="2" r:id="rId1"/>
    <sheet name="Munk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2" i="1" l="1"/>
  <c r="BE17" i="1"/>
  <c r="BE12" i="1"/>
  <c r="BE7" i="1"/>
  <c r="BE2" i="1"/>
  <c r="AS31" i="1"/>
  <c r="AS26" i="1"/>
  <c r="AS21" i="1"/>
  <c r="AS16" i="1"/>
  <c r="AS11" i="1"/>
  <c r="AS6" i="1"/>
  <c r="AS1" i="1"/>
  <c r="AG57" i="1"/>
  <c r="AG17" i="1"/>
  <c r="AG97" i="1"/>
  <c r="AG92" i="1"/>
  <c r="AG87" i="1"/>
  <c r="AG82" i="1"/>
  <c r="AG77" i="1"/>
  <c r="AG72" i="1"/>
  <c r="AG67" i="1"/>
  <c r="AG62" i="1"/>
  <c r="AG52" i="1"/>
  <c r="AG47" i="1"/>
  <c r="AG42" i="1"/>
  <c r="AG37" i="1"/>
  <c r="AG32" i="1"/>
  <c r="AG27" i="1"/>
  <c r="AG22" i="1"/>
  <c r="AG12" i="1"/>
  <c r="AG7" i="1"/>
  <c r="AG2" i="1"/>
  <c r="U97" i="1"/>
  <c r="U92" i="1"/>
  <c r="U87" i="1"/>
  <c r="U82" i="1"/>
  <c r="I97" i="1"/>
  <c r="I92" i="1"/>
  <c r="I87" i="1"/>
  <c r="I82" i="1"/>
  <c r="U2" i="1"/>
  <c r="U77" i="1"/>
  <c r="U72" i="1"/>
  <c r="U67" i="1"/>
  <c r="U62" i="1"/>
  <c r="U57" i="1"/>
  <c r="U52" i="1"/>
  <c r="U47" i="1"/>
  <c r="U42" i="1"/>
  <c r="U37" i="1"/>
  <c r="U32" i="1"/>
  <c r="U27" i="1"/>
  <c r="U22" i="1"/>
  <c r="U17" i="1"/>
  <c r="U12" i="1"/>
  <c r="U7" i="1"/>
  <c r="I77" i="1"/>
  <c r="I72" i="1"/>
  <c r="I67" i="1"/>
  <c r="I62" i="1"/>
  <c r="I12" i="1"/>
  <c r="I17" i="1"/>
  <c r="I22" i="1"/>
  <c r="I27" i="1"/>
  <c r="I32" i="1"/>
  <c r="I37" i="1"/>
  <c r="I42" i="1"/>
  <c r="I47" i="1"/>
  <c r="I52" i="1"/>
  <c r="I57" i="1"/>
  <c r="I7" i="1"/>
  <c r="I2" i="1"/>
</calcChain>
</file>

<file path=xl/sharedStrings.xml><?xml version="1.0" encoding="utf-8"?>
<sst xmlns="http://schemas.openxmlformats.org/spreadsheetml/2006/main" count="745" uniqueCount="17">
  <si>
    <t>Adatok száma</t>
  </si>
  <si>
    <t>Nyelv</t>
  </si>
  <si>
    <t>Módszer</t>
  </si>
  <si>
    <t>Átlag idő (ms)</t>
  </si>
  <si>
    <t>Javascript</t>
  </si>
  <si>
    <t>Egyszerű cserés rendezés</t>
  </si>
  <si>
    <t>Buborékos rendezés</t>
  </si>
  <si>
    <t>Gyors rendezés</t>
  </si>
  <si>
    <t>Beszúrásos rendezés</t>
  </si>
  <si>
    <t>C#</t>
  </si>
  <si>
    <t>Idő (ms)</t>
  </si>
  <si>
    <t>Fordított kiválasztásos rendezés</t>
  </si>
  <si>
    <t>Nyelv Tömb</t>
  </si>
  <si>
    <t>Nyelv Lista</t>
  </si>
  <si>
    <t>6,,1368</t>
  </si>
  <si>
    <t>Idő (Ms)</t>
  </si>
  <si>
    <t>Elemszám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</si>
</sst>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i/>
      <sz val="1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FF9F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auto="1"/>
      </left>
      <right/>
      <top style="thick">
        <color auto="1"/>
      </top>
      <bottom/>
      <diagonal/>
    </border>
    <border>
      <left/>
      <right style="medium">
        <color auto="1"/>
      </right>
      <top style="thick">
        <color auto="1"/>
      </top>
      <bottom/>
      <diagonal/>
    </border>
    <border>
      <left style="medium">
        <color auto="1"/>
      </left>
      <right/>
      <top/>
      <bottom style="thick">
        <color auto="1"/>
      </bottom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/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medium">
        <color indexed="64"/>
      </left>
      <right/>
      <top style="thin">
        <color indexed="64"/>
      </top>
      <bottom style="thick">
        <color rgb="FFFF0000"/>
      </bottom>
      <diagonal/>
    </border>
    <border>
      <left/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n">
        <color indexed="64"/>
      </bottom>
      <diagonal/>
    </border>
    <border>
      <left/>
      <right style="medium">
        <color indexed="64"/>
      </right>
      <top style="thick">
        <color rgb="FFFF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1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11" borderId="24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2" xfId="0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0" fontId="0" fillId="4" borderId="42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4" borderId="45" xfId="0" applyFill="1" applyBorder="1" applyAlignment="1">
      <alignment horizontal="center" vertical="center"/>
    </xf>
    <xf numFmtId="0" fontId="0" fillId="11" borderId="24" xfId="0" applyFill="1" applyBorder="1" applyAlignment="1">
      <alignment vertical="center"/>
    </xf>
    <xf numFmtId="0" fontId="0" fillId="11" borderId="25" xfId="0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0" fillId="11" borderId="26" xfId="0" applyFill="1" applyBorder="1" applyAlignment="1">
      <alignment vertical="center"/>
    </xf>
    <xf numFmtId="0" fontId="0" fillId="11" borderId="27" xfId="0" applyFill="1" applyBorder="1" applyAlignment="1">
      <alignment vertical="center"/>
    </xf>
    <xf numFmtId="0" fontId="0" fillId="0" borderId="46" xfId="0" applyBorder="1" applyAlignment="1"/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181818"/>
      <color rgb="FF00B0F0"/>
      <color rgb="FF39D401"/>
      <color rgb="FF006FAB"/>
      <color rgb="FFEBEBEB"/>
      <color rgb="FFF8F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10000-es adathalmaz Javascriptben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rgbClr val="00B0F0"/>
              </a:solidFill>
              <a:miter lim="800000"/>
            </a:ln>
            <a:effectLst>
              <a:glow rad="63500">
                <a:srgbClr val="00B0F0">
                  <a:alpha val="24706"/>
                </a:srgbClr>
              </a:glow>
            </a:effectLst>
          </c:spPr>
          <c:invertIfNegative val="0"/>
          <c:val>
            <c:numRef>
              <c:f>Munka1!$I$17:$J$17</c:f>
              <c:numCache>
                <c:formatCode>General</c:formatCode>
                <c:ptCount val="2"/>
                <c:pt idx="0">
                  <c:v>86.940000006560012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B8-4859-8208-9347E6D9833F}"/>
            </c:ext>
          </c:extLst>
        </c:ser>
        <c:ser>
          <c:idx val="5"/>
          <c:order val="5"/>
          <c:spPr>
            <a:noFill/>
            <a:ln w="9525" cap="flat" cmpd="sng" algn="ctr">
              <a:solidFill>
                <a:schemeClr val="accent6"/>
              </a:solidFill>
              <a:miter lim="800000"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  <c:invertIfNegative val="0"/>
          <c:val>
            <c:numRef>
              <c:f>Munka1!$I$37:$J$37</c:f>
              <c:numCache>
                <c:formatCode>General</c:formatCode>
                <c:ptCount val="2"/>
                <c:pt idx="0">
                  <c:v>61.280000001179999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CB8-4859-8208-9347E6D9833F}"/>
            </c:ext>
          </c:extLst>
        </c:ser>
        <c:ser>
          <c:idx val="10"/>
          <c:order val="10"/>
          <c:spPr>
            <a:noFill/>
            <a:ln w="9525" cap="flat" cmpd="sng" algn="ctr">
              <a:solidFill>
                <a:srgbClr val="FF0000"/>
              </a:solidFill>
              <a:miter lim="800000"/>
            </a:ln>
            <a:effectLst>
              <a:glow rad="63500">
                <a:srgbClr val="FF0000">
                  <a:alpha val="25000"/>
                </a:srgbClr>
              </a:glow>
            </a:effectLst>
          </c:spPr>
          <c:invertIfNegative val="0"/>
          <c:val>
            <c:numRef>
              <c:f>Munka1!$I$57:$J$57</c:f>
              <c:numCache>
                <c:formatCode>General</c:formatCode>
                <c:ptCount val="2"/>
                <c:pt idx="0">
                  <c:v>0.24000000057999998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CB8-4859-8208-9347E6D9833F}"/>
            </c:ext>
          </c:extLst>
        </c:ser>
        <c:ser>
          <c:idx val="15"/>
          <c:order val="15"/>
          <c:spPr>
            <a:noFill/>
            <a:ln w="9525" cap="flat" cmpd="sng" algn="ctr">
              <a:solidFill>
                <a:srgbClr val="FFC000"/>
              </a:solidFill>
              <a:miter lim="800000"/>
            </a:ln>
            <a:effectLst>
              <a:glow rad="63500">
                <a:srgbClr val="FFC000">
                  <a:alpha val="25000"/>
                </a:srgbClr>
              </a:glow>
            </a:effectLst>
          </c:spPr>
          <c:invertIfNegative val="0"/>
          <c:val>
            <c:numRef>
              <c:f>Munka1!$I$77:$J$77</c:f>
              <c:numCache>
                <c:formatCode>General</c:formatCode>
                <c:ptCount val="2"/>
                <c:pt idx="0">
                  <c:v>10.800000005979999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CB8-4859-8208-9347E6D9833F}"/>
            </c:ext>
          </c:extLst>
        </c:ser>
        <c:ser>
          <c:idx val="20"/>
          <c:order val="20"/>
          <c:spPr>
            <a:noFill/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miter lim="800000"/>
            </a:ln>
            <a:effectLst>
              <a:glow rad="63500">
                <a:schemeClr val="accent5">
                  <a:lumMod val="60000"/>
                  <a:lumOff val="40000"/>
                  <a:alpha val="25000"/>
                </a:schemeClr>
              </a:glow>
            </a:effectLst>
          </c:spPr>
          <c:invertIfNegative val="0"/>
          <c:val>
            <c:numRef>
              <c:f>Munka1!$I$97:$J$97</c:f>
              <c:numCache>
                <c:formatCode>General</c:formatCode>
                <c:ptCount val="2"/>
                <c:pt idx="0">
                  <c:v>91.140000000579988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CB8-4859-8208-9347E6D98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674832719"/>
        <c:axId val="1674834159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noFill/>
                  <a:ln w="9525" cap="flat" cmpd="sng" algn="ctr">
                    <a:solidFill>
                      <a:schemeClr val="accent2"/>
                    </a:solidFill>
                    <a:miter lim="800000"/>
                  </a:ln>
                  <a:effectLst>
                    <a:glow rad="63500">
                      <a:schemeClr val="accent2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Munka1!$I$18:$J$18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1CB8-4859-8208-9347E6D9833F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noFill/>
                  <a:ln w="9525" cap="flat" cmpd="sng" algn="ctr">
                    <a:solidFill>
                      <a:schemeClr val="accent3"/>
                    </a:solidFill>
                    <a:miter lim="800000"/>
                  </a:ln>
                  <a:effectLst>
                    <a:glow rad="63500">
                      <a:schemeClr val="accent3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Munka1!$I$19:$J$19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CB8-4859-8208-9347E6D9833F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noFill/>
                  <a:ln w="9525" cap="flat" cmpd="sng" algn="ctr">
                    <a:solidFill>
                      <a:schemeClr val="accent4"/>
                    </a:solidFill>
                    <a:miter lim="800000"/>
                  </a:ln>
                  <a:effectLst>
                    <a:glow rad="63500">
                      <a:schemeClr val="accent4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Munka1!$I$20:$J$20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CB8-4859-8208-9347E6D9833F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noFill/>
                  <a:ln w="9525" cap="flat" cmpd="sng" algn="ctr">
                    <a:solidFill>
                      <a:schemeClr val="accent5"/>
                    </a:solidFill>
                    <a:miter lim="800000"/>
                  </a:ln>
                  <a:effectLst>
                    <a:glow rad="63500">
                      <a:schemeClr val="accent5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Munka1!$I$21:$J$21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CB8-4859-8208-9347E6D9833F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noFill/>
                  <a:ln w="9525" cap="flat" cmpd="sng" algn="ctr">
                    <a:solidFill>
                      <a:schemeClr val="accent1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Munka1!$I$38:$J$38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CB8-4859-8208-9347E6D9833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noFill/>
                  <a:ln w="9525" cap="flat" cmpd="sng" algn="ctr">
                    <a:solidFill>
                      <a:schemeClr val="accent2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Munka1!$I$39:$J$39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CB8-4859-8208-9347E6D9833F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noFill/>
                  <a:ln w="9525" cap="flat" cmpd="sng" algn="ctr">
                    <a:solidFill>
                      <a:schemeClr val="accent3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3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Munka1!$I$40:$J$40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CB8-4859-8208-9347E6D9833F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noFill/>
                  <a:ln w="9525" cap="flat" cmpd="sng" algn="ctr">
                    <a:solidFill>
                      <a:schemeClr val="accent4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4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Munka1!$I$41:$J$41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1CB8-4859-8208-9347E6D9833F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noFill/>
                  <a:ln w="9525" cap="flat" cmpd="sng" algn="ctr">
                    <a:solidFill>
                      <a:schemeClr val="accent6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Munka1!$I$58:$J$58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1CB8-4859-8208-9347E6D9833F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noFill/>
                  <a:ln w="9525" cap="flat" cmpd="sng" algn="ctr">
                    <a:solidFill>
                      <a:schemeClr val="accent1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Munka1!$I$59:$J$59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1CB8-4859-8208-9347E6D9833F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noFill/>
                  <a:ln w="9525" cap="flat" cmpd="sng" algn="ctr">
                    <a:solidFill>
                      <a:schemeClr val="accent2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Munka1!$I$60:$J$60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1CB8-4859-8208-9347E6D9833F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noFill/>
                  <a:ln w="9525" cap="flat" cmpd="sng" algn="ctr">
                    <a:solidFill>
                      <a:schemeClr val="accent3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3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Munka1!$I$61:$J$61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1CB8-4859-8208-9347E6D9833F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noFill/>
                  <a:ln w="9525" cap="flat" cmpd="sng" algn="ctr">
                    <a:solidFill>
                      <a:schemeClr val="accent5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5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Munka1!$I$78:$J$78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1CB8-4859-8208-9347E6D9833F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noFill/>
                  <a:ln w="9525" cap="flat" cmpd="sng" algn="ctr">
                    <a:solidFill>
                      <a:schemeClr val="accent6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Munka1!$I$79:$J$79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1CB8-4859-8208-9347E6D9833F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noFill/>
                  <a:ln w="9525" cap="flat" cmpd="sng" algn="ctr">
                    <a:solidFill>
                      <a:schemeClr val="accent1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Munka1!$I$80:$J$80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1CB8-4859-8208-9347E6D9833F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noFill/>
                  <a:ln w="9525" cap="flat" cmpd="sng" algn="ctr">
                    <a:solidFill>
                      <a:schemeClr val="accent2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Munka1!$I$81:$J$81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1CB8-4859-8208-9347E6D9833F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noFill/>
                  <a:ln w="9525" cap="flat" cmpd="sng" algn="ctr">
                    <a:solidFill>
                      <a:schemeClr val="accent4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4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Munka1!$I$98:$J$98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1CB8-4859-8208-9347E6D9833F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noFill/>
                  <a:ln w="9525" cap="flat" cmpd="sng" algn="ctr">
                    <a:solidFill>
                      <a:schemeClr val="accent5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5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Munka1!$I$99:$J$99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1CB8-4859-8208-9347E6D9833F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noFill/>
                  <a:ln w="9525" cap="flat" cmpd="sng" algn="ctr">
                    <a:solidFill>
                      <a:schemeClr val="accent6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Munka1!$I$100:$J$100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1CB8-4859-8208-9347E6D9833F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noFill/>
                  <a:ln w="9525" cap="flat" cmpd="sng" algn="ctr">
                    <a:solidFill>
                      <a:schemeClr val="accent1">
                        <a:lumMod val="60000"/>
                        <a:lumOff val="4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60000"/>
                        <a:lumOff val="4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Munka1!$I$101:$J$101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1CB8-4859-8208-9347E6D9833F}"/>
                  </c:ext>
                </c:extLst>
              </c15:ser>
            </c15:filteredBarSeries>
          </c:ext>
        </c:extLst>
      </c:barChart>
      <c:catAx>
        <c:axId val="16748327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4834159"/>
        <c:crosses val="autoZero"/>
        <c:auto val="1"/>
        <c:lblAlgn val="ctr"/>
        <c:lblOffset val="100"/>
        <c:noMultiLvlLbl val="0"/>
      </c:catAx>
      <c:valAx>
        <c:axId val="167483415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4832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181818"/>
    </a:solidFill>
    <a:ln w="9525" cap="flat" cmpd="sng" algn="ctr">
      <a:solidFill>
        <a:srgbClr val="EBEBEB"/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10000-es adathalmaz C#-ban tömb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rgbClr val="00B0F0"/>
              </a:solidFill>
              <a:miter lim="800000"/>
            </a:ln>
            <a:effectLst>
              <a:glow rad="63500">
                <a:srgbClr val="00B0F0">
                  <a:alpha val="24706"/>
                </a:srgbClr>
              </a:glow>
            </a:effectLst>
          </c:spPr>
          <c:invertIfNegative val="0"/>
          <c:val>
            <c:numRef>
              <c:f>Munka1!$U$17:$V$17</c:f>
              <c:numCache>
                <c:formatCode>General</c:formatCode>
                <c:ptCount val="2"/>
                <c:pt idx="0">
                  <c:v>172.90840000000003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3-438E-AB3A-88AE9A6163B1}"/>
            </c:ext>
          </c:extLst>
        </c:ser>
        <c:ser>
          <c:idx val="5"/>
          <c:order val="5"/>
          <c:spPr>
            <a:noFill/>
            <a:ln w="9525" cap="flat" cmpd="sng" algn="ctr">
              <a:solidFill>
                <a:schemeClr val="accent6"/>
              </a:solidFill>
              <a:miter lim="800000"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  <c:invertIfNegative val="0"/>
          <c:val>
            <c:numRef>
              <c:f>Munka1!$U$37:$V$37</c:f>
              <c:numCache>
                <c:formatCode>General</c:formatCode>
                <c:ptCount val="2"/>
                <c:pt idx="0">
                  <c:v>159.46881999999999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73-438E-AB3A-88AE9A6163B1}"/>
            </c:ext>
          </c:extLst>
        </c:ser>
        <c:ser>
          <c:idx val="10"/>
          <c:order val="10"/>
          <c:spPr>
            <a:solidFill>
              <a:srgbClr val="181818"/>
            </a:solidFill>
            <a:ln w="9525" cap="flat" cmpd="sng" algn="ctr">
              <a:solidFill>
                <a:srgbClr val="FF0000"/>
              </a:solidFill>
              <a:miter lim="800000"/>
            </a:ln>
            <a:effectLst>
              <a:glow rad="63500">
                <a:srgbClr val="FF0000">
                  <a:alpha val="25000"/>
                </a:srgbClr>
              </a:glow>
            </a:effectLst>
          </c:spPr>
          <c:invertIfNegative val="0"/>
          <c:val>
            <c:numRef>
              <c:f>Munka1!$U$57:$V$57</c:f>
              <c:numCache>
                <c:formatCode>General</c:formatCode>
                <c:ptCount val="2"/>
                <c:pt idx="0">
                  <c:v>0.85595999999999994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E73-438E-AB3A-88AE9A6163B1}"/>
            </c:ext>
          </c:extLst>
        </c:ser>
        <c:ser>
          <c:idx val="15"/>
          <c:order val="15"/>
          <c:spPr>
            <a:noFill/>
            <a:ln w="9525" cap="flat" cmpd="sng" algn="ctr">
              <a:solidFill>
                <a:srgbClr val="FFC000"/>
              </a:solidFill>
              <a:miter lim="800000"/>
            </a:ln>
            <a:effectLst>
              <a:glow rad="63500">
                <a:srgbClr val="FFC000">
                  <a:alpha val="25000"/>
                </a:srgbClr>
              </a:glow>
            </a:effectLst>
          </c:spPr>
          <c:invertIfNegative val="0"/>
          <c:val>
            <c:numRef>
              <c:f>Munka1!$U$77:$V$77</c:f>
              <c:numCache>
                <c:formatCode>General</c:formatCode>
                <c:ptCount val="2"/>
                <c:pt idx="0">
                  <c:v>37.016820000000003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E73-438E-AB3A-88AE9A6163B1}"/>
            </c:ext>
          </c:extLst>
        </c:ser>
        <c:ser>
          <c:idx val="20"/>
          <c:order val="20"/>
          <c:spPr>
            <a:noFill/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miter lim="800000"/>
            </a:ln>
            <a:effectLst>
              <a:glow rad="63500">
                <a:schemeClr val="accent5">
                  <a:lumMod val="60000"/>
                  <a:lumOff val="40000"/>
                  <a:alpha val="25000"/>
                </a:schemeClr>
              </a:glow>
            </a:effectLst>
          </c:spPr>
          <c:invertIfNegative val="0"/>
          <c:val>
            <c:numRef>
              <c:f>Munka1!$U$97:$V$97</c:f>
              <c:numCache>
                <c:formatCode>General</c:formatCode>
                <c:ptCount val="2"/>
                <c:pt idx="0">
                  <c:v>239.94793999999996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2E73-438E-AB3A-88AE9A616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679387871"/>
        <c:axId val="1679388351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noFill/>
                  <a:ln w="9525" cap="flat" cmpd="sng" algn="ctr">
                    <a:solidFill>
                      <a:schemeClr val="accent2"/>
                    </a:solidFill>
                    <a:miter lim="800000"/>
                  </a:ln>
                  <a:effectLst>
                    <a:glow rad="63500">
                      <a:schemeClr val="accent2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Munka1!$U$18:$V$18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E73-438E-AB3A-88AE9A6163B1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noFill/>
                  <a:ln w="9525" cap="flat" cmpd="sng" algn="ctr">
                    <a:solidFill>
                      <a:schemeClr val="accent3"/>
                    </a:solidFill>
                    <a:miter lim="800000"/>
                  </a:ln>
                  <a:effectLst>
                    <a:glow rad="63500">
                      <a:schemeClr val="accent3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Munka1!$U$19:$V$19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E73-438E-AB3A-88AE9A6163B1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noFill/>
                  <a:ln w="9525" cap="flat" cmpd="sng" algn="ctr">
                    <a:solidFill>
                      <a:schemeClr val="accent4"/>
                    </a:solidFill>
                    <a:miter lim="800000"/>
                  </a:ln>
                  <a:effectLst>
                    <a:glow rad="63500">
                      <a:schemeClr val="accent4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Munka1!$U$20:$V$20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73-438E-AB3A-88AE9A6163B1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noFill/>
                  <a:ln w="9525" cap="flat" cmpd="sng" algn="ctr">
                    <a:solidFill>
                      <a:schemeClr val="accent5"/>
                    </a:solidFill>
                    <a:miter lim="800000"/>
                  </a:ln>
                  <a:effectLst>
                    <a:glow rad="63500">
                      <a:schemeClr val="accent5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Munka1!$U$21:$V$21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73-438E-AB3A-88AE9A6163B1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noFill/>
                  <a:ln w="9525" cap="flat" cmpd="sng" algn="ctr">
                    <a:solidFill>
                      <a:schemeClr val="accent1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Munka1!$U$38:$V$38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73-438E-AB3A-88AE9A6163B1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noFill/>
                  <a:ln w="9525" cap="flat" cmpd="sng" algn="ctr">
                    <a:solidFill>
                      <a:schemeClr val="accent2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Munka1!$U$39:$V$39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E73-438E-AB3A-88AE9A6163B1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noFill/>
                  <a:ln w="9525" cap="flat" cmpd="sng" algn="ctr">
                    <a:solidFill>
                      <a:schemeClr val="accent3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3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Munka1!$U$40:$V$40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E73-438E-AB3A-88AE9A6163B1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noFill/>
                  <a:ln w="9525" cap="flat" cmpd="sng" algn="ctr">
                    <a:solidFill>
                      <a:schemeClr val="accent4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4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Munka1!$U$41:$V$41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E73-438E-AB3A-88AE9A6163B1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noFill/>
                  <a:ln w="9525" cap="flat" cmpd="sng" algn="ctr">
                    <a:solidFill>
                      <a:schemeClr val="accent6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Munka1!$U$58:$V$58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E73-438E-AB3A-88AE9A6163B1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noFill/>
                  <a:ln w="9525" cap="flat" cmpd="sng" algn="ctr">
                    <a:solidFill>
                      <a:schemeClr val="accent1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Munka1!$U$59:$V$59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E73-438E-AB3A-88AE9A6163B1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noFill/>
                  <a:ln w="9525" cap="flat" cmpd="sng" algn="ctr">
                    <a:solidFill>
                      <a:schemeClr val="accent2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Munka1!$U$60:$V$60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E73-438E-AB3A-88AE9A6163B1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noFill/>
                  <a:ln w="9525" cap="flat" cmpd="sng" algn="ctr">
                    <a:solidFill>
                      <a:schemeClr val="accent3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3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Munka1!$U$61:$V$61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E73-438E-AB3A-88AE9A6163B1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noFill/>
                  <a:ln w="9525" cap="flat" cmpd="sng" algn="ctr">
                    <a:solidFill>
                      <a:schemeClr val="accent5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5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Munka1!$U$78:$V$78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E73-438E-AB3A-88AE9A6163B1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noFill/>
                  <a:ln w="9525" cap="flat" cmpd="sng" algn="ctr">
                    <a:solidFill>
                      <a:schemeClr val="accent6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Munka1!$U$79:$V$79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E73-438E-AB3A-88AE9A6163B1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noFill/>
                  <a:ln w="9525" cap="flat" cmpd="sng" algn="ctr">
                    <a:solidFill>
                      <a:schemeClr val="accent1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Munka1!$U$80:$V$80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E73-438E-AB3A-88AE9A6163B1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noFill/>
                  <a:ln w="9525" cap="flat" cmpd="sng" algn="ctr">
                    <a:solidFill>
                      <a:schemeClr val="accent2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Munka1!$U$81:$V$81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E73-438E-AB3A-88AE9A6163B1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noFill/>
                  <a:ln w="9525" cap="flat" cmpd="sng" algn="ctr">
                    <a:solidFill>
                      <a:schemeClr val="accent4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4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Munka1!$U$98:$V$98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E73-438E-AB3A-88AE9A6163B1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noFill/>
                  <a:ln w="9525" cap="flat" cmpd="sng" algn="ctr">
                    <a:solidFill>
                      <a:schemeClr val="accent5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5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Munka1!$U$99:$V$99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2E73-438E-AB3A-88AE9A6163B1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noFill/>
                  <a:ln w="9525" cap="flat" cmpd="sng" algn="ctr">
                    <a:solidFill>
                      <a:schemeClr val="accent6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Munka1!$U$100:$V$100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E73-438E-AB3A-88AE9A6163B1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noFill/>
                  <a:ln w="9525" cap="flat" cmpd="sng" algn="ctr">
                    <a:solidFill>
                      <a:schemeClr val="accent1">
                        <a:lumMod val="60000"/>
                        <a:lumOff val="4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60000"/>
                        <a:lumOff val="4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Munka1!$U$101:$V$101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E73-438E-AB3A-88AE9A6163B1}"/>
                  </c:ext>
                </c:extLst>
              </c15:ser>
            </c15:filteredBarSeries>
          </c:ext>
        </c:extLst>
      </c:barChart>
      <c:catAx>
        <c:axId val="16793878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9388351"/>
        <c:crosses val="autoZero"/>
        <c:auto val="1"/>
        <c:lblAlgn val="ctr"/>
        <c:lblOffset val="100"/>
        <c:noMultiLvlLbl val="0"/>
      </c:catAx>
      <c:valAx>
        <c:axId val="167938835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938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181818"/>
    </a:solidFill>
    <a:ln w="9525" cap="flat" cmpd="sng" algn="ctr">
      <a:solidFill>
        <a:srgbClr val="EBEBEB"/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Egyszerű cserés Js vs C#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rgbClr val="00B0F0"/>
              </a:solidFill>
              <a:miter lim="800000"/>
            </a:ln>
            <a:effectLst>
              <a:glow rad="63500">
                <a:srgbClr val="00B0F0">
                  <a:alpha val="25000"/>
                </a:srgbClr>
              </a:glow>
            </a:effectLst>
          </c:spPr>
          <c:invertIfNegative val="0"/>
          <c:dLbls>
            <c:delete val="1"/>
          </c:dLbls>
          <c:val>
            <c:numRef>
              <c:f>Munka1!$I$17:$I$21</c:f>
              <c:numCache>
                <c:formatCode>General</c:formatCode>
                <c:ptCount val="5"/>
                <c:pt idx="0">
                  <c:v>86.940000006560012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9D-4513-ABC9-4089008BA5D5}"/>
            </c:ext>
          </c:extLst>
        </c:ser>
        <c:ser>
          <c:idx val="1"/>
          <c:order val="1"/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Munka1!$J$17:$J$21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B49D-4513-ABC9-4089008BA5D5}"/>
            </c:ext>
          </c:extLst>
        </c:ser>
        <c:ser>
          <c:idx val="2"/>
          <c:order val="2"/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dLbls>
            <c:delete val="1"/>
          </c:dLbls>
          <c:val>
            <c:numRef>
              <c:f>Munka1!$U$17:$U$21</c:f>
              <c:numCache>
                <c:formatCode>General</c:formatCode>
                <c:ptCount val="5"/>
                <c:pt idx="0">
                  <c:v>172.90840000000003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9D-4513-ABC9-4089008BA5D5}"/>
            </c:ext>
          </c:extLst>
        </c:ser>
        <c:ser>
          <c:idx val="3"/>
          <c:order val="3"/>
          <c:spPr>
            <a:noFill/>
            <a:ln w="9525" cap="flat" cmpd="sng" algn="ctr">
              <a:solidFill>
                <a:schemeClr val="accent4"/>
              </a:solidFill>
              <a:miter lim="800000"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Munka1!$V$17:$V$21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3-B49D-4513-ABC9-4089008BA5D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885064703"/>
        <c:axId val="1885067103"/>
      </c:barChart>
      <c:catAx>
        <c:axId val="188506470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885067103"/>
        <c:crosses val="autoZero"/>
        <c:auto val="1"/>
        <c:lblAlgn val="ctr"/>
        <c:lblOffset val="100"/>
        <c:noMultiLvlLbl val="0"/>
      </c:catAx>
      <c:valAx>
        <c:axId val="188506710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885064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81818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Gyors cserés Js vs C#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rgbClr val="00B0F0"/>
              </a:solidFill>
              <a:miter lim="800000"/>
            </a:ln>
            <a:effectLst>
              <a:glow rad="63500">
                <a:srgbClr val="00B0F0">
                  <a:alpha val="25000"/>
                </a:srgbClr>
              </a:glow>
            </a:effectLst>
          </c:spPr>
          <c:invertIfNegative val="0"/>
          <c:dLbls>
            <c:delete val="1"/>
          </c:dLbls>
          <c:val>
            <c:numRef>
              <c:f>Munka1!$I$57:$I$61</c:f>
              <c:numCache>
                <c:formatCode>General</c:formatCode>
                <c:ptCount val="5"/>
                <c:pt idx="0">
                  <c:v>0.24000000057999998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6-4E5E-B451-8F423E17D7EA}"/>
            </c:ext>
          </c:extLst>
        </c:ser>
        <c:ser>
          <c:idx val="1"/>
          <c:order val="1"/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Munka1!$J$57:$J$61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0496-4E5E-B451-8F423E17D7EA}"/>
            </c:ext>
          </c:extLst>
        </c:ser>
        <c:ser>
          <c:idx val="2"/>
          <c:order val="2"/>
          <c:spPr>
            <a:noFill/>
            <a:ln w="9525" cap="flat" cmpd="sng" algn="ctr">
              <a:solidFill>
                <a:srgbClr val="00B050"/>
              </a:solidFill>
              <a:miter lim="800000"/>
            </a:ln>
            <a:effectLst>
              <a:glow rad="63500">
                <a:srgbClr val="00B050">
                  <a:alpha val="25000"/>
                </a:srgbClr>
              </a:glow>
            </a:effectLst>
          </c:spPr>
          <c:invertIfNegative val="0"/>
          <c:dLbls>
            <c:delete val="1"/>
          </c:dLbls>
          <c:val>
            <c:numRef>
              <c:f>Munka1!$U$57:$U$61</c:f>
              <c:numCache>
                <c:formatCode>General</c:formatCode>
                <c:ptCount val="5"/>
                <c:pt idx="0">
                  <c:v>0.85595999999999994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96-4E5E-B451-8F423E17D7EA}"/>
            </c:ext>
          </c:extLst>
        </c:ser>
        <c:ser>
          <c:idx val="3"/>
          <c:order val="3"/>
          <c:spPr>
            <a:noFill/>
            <a:ln w="9525" cap="flat" cmpd="sng" algn="ctr">
              <a:solidFill>
                <a:schemeClr val="accent4"/>
              </a:solidFill>
              <a:miter lim="800000"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Munka1!$V$57:$V$61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3-0496-4E5E-B451-8F423E17D7E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672122543"/>
        <c:axId val="1672121583"/>
      </c:barChart>
      <c:catAx>
        <c:axId val="1672122543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2121583"/>
        <c:crosses val="autoZero"/>
        <c:auto val="1"/>
        <c:lblAlgn val="ctr"/>
        <c:lblOffset val="100"/>
        <c:noMultiLvlLbl val="0"/>
      </c:catAx>
      <c:valAx>
        <c:axId val="167212158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672122543"/>
        <c:crosses val="autoZero"/>
        <c:crossBetween val="between"/>
      </c:valAx>
      <c:spPr>
        <a:solidFill>
          <a:srgbClr val="181818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81818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10000-es adathalmaz C#-ban lista</a:t>
            </a:r>
          </a:p>
          <a:p>
            <a:pPr>
              <a:defRPr/>
            </a:pP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>
        <c:manualLayout>
          <c:layoutTarget val="inner"/>
          <c:xMode val="edge"/>
          <c:yMode val="edge"/>
          <c:x val="7.7197493489544744E-2"/>
          <c:y val="0.12644913014935816"/>
          <c:w val="0.90586702550723475"/>
          <c:h val="0.78966995009368701"/>
        </c:manualLayout>
      </c:layout>
      <c:barChart>
        <c:barDir val="col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rgbClr val="00B0F0"/>
              </a:solidFill>
              <a:miter lim="800000"/>
            </a:ln>
            <a:effectLst>
              <a:glow rad="63500">
                <a:srgbClr val="00B0F0">
                  <a:alpha val="24706"/>
                </a:srgbClr>
              </a:glow>
            </a:effectLst>
          </c:spPr>
          <c:invertIfNegative val="0"/>
          <c:val>
            <c:numRef>
              <c:f>Munka1!$AG$17:$AH$17</c:f>
              <c:numCache>
                <c:formatCode>General</c:formatCode>
                <c:ptCount val="2"/>
                <c:pt idx="0">
                  <c:v>934.20799999999997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DA-4962-81D7-081CC275FE38}"/>
            </c:ext>
          </c:extLst>
        </c:ser>
        <c:ser>
          <c:idx val="5"/>
          <c:order val="5"/>
          <c:spPr>
            <a:noFill/>
            <a:ln w="9525" cap="flat" cmpd="sng" algn="ctr">
              <a:solidFill>
                <a:srgbClr val="39D401"/>
              </a:solidFill>
              <a:miter lim="800000"/>
            </a:ln>
            <a:effectLst>
              <a:glow rad="63500">
                <a:srgbClr val="39D401">
                  <a:alpha val="24706"/>
                </a:srgbClr>
              </a:glow>
            </a:effectLst>
          </c:spPr>
          <c:invertIfNegative val="0"/>
          <c:val>
            <c:numRef>
              <c:f>Munka1!$AG$37:$AH$37</c:f>
              <c:numCache>
                <c:formatCode>General</c:formatCode>
                <c:ptCount val="2"/>
                <c:pt idx="0">
                  <c:v>725.36712000000011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DDA-4962-81D7-081CC275FE38}"/>
            </c:ext>
          </c:extLst>
        </c:ser>
        <c:ser>
          <c:idx val="10"/>
          <c:order val="10"/>
          <c:spPr>
            <a:solidFill>
              <a:srgbClr val="181818"/>
            </a:solidFill>
            <a:ln w="9525" cap="flat" cmpd="sng" algn="ctr">
              <a:solidFill>
                <a:srgbClr val="FF0000"/>
              </a:solidFill>
              <a:miter lim="800000"/>
            </a:ln>
            <a:effectLst>
              <a:glow rad="63500">
                <a:srgbClr val="FF0000">
                  <a:alpha val="25000"/>
                </a:srgbClr>
              </a:glow>
            </a:effectLst>
          </c:spPr>
          <c:invertIfNegative val="0"/>
          <c:val>
            <c:numRef>
              <c:f>Munka1!$AG$57:$AH$57</c:f>
              <c:numCache>
                <c:formatCode>General</c:formatCode>
                <c:ptCount val="2"/>
                <c:pt idx="0">
                  <c:v>2.4767399999999999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DDA-4962-81D7-081CC275FE38}"/>
            </c:ext>
          </c:extLst>
        </c:ser>
        <c:ser>
          <c:idx val="15"/>
          <c:order val="15"/>
          <c:spPr>
            <a:noFill/>
            <a:ln w="9525" cap="flat" cmpd="sng" algn="ctr">
              <a:solidFill>
                <a:srgbClr val="FFC000"/>
              </a:solidFill>
              <a:miter lim="800000"/>
            </a:ln>
            <a:effectLst>
              <a:glow rad="63500">
                <a:srgbClr val="FFC000">
                  <a:alpha val="25000"/>
                </a:srgbClr>
              </a:glow>
            </a:effectLst>
          </c:spPr>
          <c:invertIfNegative val="0"/>
          <c:val>
            <c:numRef>
              <c:f>Munka1!$AG$77:$AH$77</c:f>
              <c:numCache>
                <c:formatCode>General</c:formatCode>
                <c:ptCount val="2"/>
                <c:pt idx="0">
                  <c:v>186.52884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DDA-4962-81D7-081CC275FE38}"/>
            </c:ext>
          </c:extLst>
        </c:ser>
        <c:ser>
          <c:idx val="20"/>
          <c:order val="20"/>
          <c:spPr>
            <a:noFill/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miter lim="800000"/>
            </a:ln>
            <a:effectLst>
              <a:glow rad="63500">
                <a:schemeClr val="accent5">
                  <a:lumMod val="60000"/>
                  <a:lumOff val="40000"/>
                  <a:alpha val="25000"/>
                </a:schemeClr>
              </a:glow>
            </a:effectLst>
          </c:spPr>
          <c:invertIfNegative val="0"/>
          <c:val>
            <c:numRef>
              <c:f>Munka1!$AG$97:$AH$97</c:f>
              <c:numCache>
                <c:formatCode>General</c:formatCode>
                <c:ptCount val="2"/>
                <c:pt idx="0">
                  <c:v>727.31901999999991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DDA-4962-81D7-081CC275F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720397616"/>
        <c:axId val="1720396176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noFill/>
                  <a:ln w="9525" cap="flat" cmpd="sng" algn="ctr">
                    <a:solidFill>
                      <a:schemeClr val="accent2"/>
                    </a:solidFill>
                    <a:miter lim="800000"/>
                  </a:ln>
                  <a:effectLst>
                    <a:glow rad="63500">
                      <a:schemeClr val="accent2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Munka1!$AG$18:$AH$18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DDA-4962-81D7-081CC275FE3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noFill/>
                  <a:ln w="9525" cap="flat" cmpd="sng" algn="ctr">
                    <a:solidFill>
                      <a:schemeClr val="accent3"/>
                    </a:solidFill>
                    <a:miter lim="800000"/>
                  </a:ln>
                  <a:effectLst>
                    <a:glow rad="63500">
                      <a:schemeClr val="accent3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Munka1!$AG$19:$AH$19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CDDA-4962-81D7-081CC275FE3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noFill/>
                  <a:ln w="9525" cap="flat" cmpd="sng" algn="ctr">
                    <a:solidFill>
                      <a:schemeClr val="accent4"/>
                    </a:solidFill>
                    <a:miter lim="800000"/>
                  </a:ln>
                  <a:effectLst>
                    <a:glow rad="63500">
                      <a:schemeClr val="accent4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Munka1!$AG$20:$AH$20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CDDA-4962-81D7-081CC275FE38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noFill/>
                  <a:ln w="9525" cap="flat" cmpd="sng" algn="ctr">
                    <a:solidFill>
                      <a:schemeClr val="accent5"/>
                    </a:solidFill>
                    <a:miter lim="800000"/>
                  </a:ln>
                  <a:effectLst>
                    <a:glow rad="63500">
                      <a:schemeClr val="accent5"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Munka1!$AG$21:$AH$21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CDDA-4962-81D7-081CC275FE38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noFill/>
                  <a:ln w="9525" cap="flat" cmpd="sng" algn="ctr">
                    <a:solidFill>
                      <a:schemeClr val="accent1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Munka1!$AG$38:$AH$38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CDDA-4962-81D7-081CC275FE38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noFill/>
                  <a:ln w="9525" cap="flat" cmpd="sng" algn="ctr">
                    <a:solidFill>
                      <a:schemeClr val="accent2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Munka1!$AG$39:$AH$39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CDDA-4962-81D7-081CC275FE38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noFill/>
                  <a:ln w="9525" cap="flat" cmpd="sng" algn="ctr">
                    <a:solidFill>
                      <a:schemeClr val="accent3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3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Munka1!$AG$40:$AH$40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CDDA-4962-81D7-081CC275FE38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noFill/>
                  <a:ln w="9525" cap="flat" cmpd="sng" algn="ctr">
                    <a:solidFill>
                      <a:schemeClr val="accent4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4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Munka1!$AG$41:$AH$41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CDDA-4962-81D7-081CC275FE38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noFill/>
                  <a:ln w="9525" cap="flat" cmpd="sng" algn="ctr">
                    <a:solidFill>
                      <a:schemeClr val="accent6">
                        <a:lumMod val="6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6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Munka1!$AG$58:$AH$58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CDDA-4962-81D7-081CC275FE38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noFill/>
                  <a:ln w="9525" cap="flat" cmpd="sng" algn="ctr">
                    <a:solidFill>
                      <a:schemeClr val="accent1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Munka1!$AG$59:$AH$59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CDDA-4962-81D7-081CC275FE38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noFill/>
                  <a:ln w="9525" cap="flat" cmpd="sng" algn="ctr">
                    <a:solidFill>
                      <a:schemeClr val="accent2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Munka1!$AG$60:$AH$60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CDDA-4962-81D7-081CC275FE38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noFill/>
                  <a:ln w="9525" cap="flat" cmpd="sng" algn="ctr">
                    <a:solidFill>
                      <a:schemeClr val="accent3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3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Munka1!$AG$61:$AH$61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CDDA-4962-81D7-081CC275FE38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noFill/>
                  <a:ln w="9525" cap="flat" cmpd="sng" algn="ctr">
                    <a:solidFill>
                      <a:schemeClr val="accent5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5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Munka1!$AG$78:$AH$78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CDDA-4962-81D7-081CC275FE38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noFill/>
                  <a:ln w="9525" cap="flat" cmpd="sng" algn="ctr">
                    <a:solidFill>
                      <a:schemeClr val="accent6">
                        <a:lumMod val="80000"/>
                        <a:lumOff val="2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80000"/>
                        <a:lumOff val="2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Munka1!$AG$79:$AH$79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CDDA-4962-81D7-081CC275FE38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noFill/>
                  <a:ln w="9525" cap="flat" cmpd="sng" algn="ctr">
                    <a:solidFill>
                      <a:schemeClr val="accent1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Munka1!$AG$80:$AH$80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9-CDDA-4962-81D7-081CC275FE38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noFill/>
                  <a:ln w="9525" cap="flat" cmpd="sng" algn="ctr">
                    <a:solidFill>
                      <a:schemeClr val="accent2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2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Munka1!$AG$81:$AH$81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CDDA-4962-81D7-081CC275FE38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noFill/>
                  <a:ln w="9525" cap="flat" cmpd="sng" algn="ctr">
                    <a:solidFill>
                      <a:schemeClr val="accent4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4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Munka1!$AG$98:$AH$98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CDDA-4962-81D7-081CC275FE38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noFill/>
                  <a:ln w="9525" cap="flat" cmpd="sng" algn="ctr">
                    <a:solidFill>
                      <a:schemeClr val="accent5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5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Munka1!$AG$99:$AH$99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CDDA-4962-81D7-081CC275FE38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noFill/>
                  <a:ln w="9525" cap="flat" cmpd="sng" algn="ctr">
                    <a:solidFill>
                      <a:schemeClr val="accent6">
                        <a:lumMod val="80000"/>
                      </a:schemeClr>
                    </a:solidFill>
                    <a:miter lim="800000"/>
                  </a:ln>
                  <a:effectLst>
                    <a:glow rad="63500">
                      <a:schemeClr val="accent6">
                        <a:lumMod val="8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Munka1!$AG$100:$AH$100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E-CDDA-4962-81D7-081CC275FE38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noFill/>
                  <a:ln w="9525" cap="flat" cmpd="sng" algn="ctr">
                    <a:solidFill>
                      <a:schemeClr val="accent1">
                        <a:lumMod val="60000"/>
                        <a:lumOff val="40000"/>
                      </a:schemeClr>
                    </a:solidFill>
                    <a:miter lim="800000"/>
                  </a:ln>
                  <a:effectLst>
                    <a:glow rad="63500">
                      <a:schemeClr val="accent1">
                        <a:lumMod val="60000"/>
                        <a:lumOff val="40000"/>
                        <a:satMod val="175000"/>
                        <a:alpha val="25000"/>
                      </a:schemeClr>
                    </a:glow>
                  </a:effectLst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Munka1!$AG$101:$AH$101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F-CDDA-4962-81D7-081CC275FE38}"/>
                  </c:ext>
                </c:extLst>
              </c15:ser>
            </c15:filteredBarSeries>
          </c:ext>
        </c:extLst>
      </c:barChart>
      <c:catAx>
        <c:axId val="172039761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20396176"/>
        <c:crosses val="autoZero"/>
        <c:auto val="1"/>
        <c:lblAlgn val="ctr"/>
        <c:lblOffset val="100"/>
        <c:noMultiLvlLbl val="0"/>
      </c:catAx>
      <c:valAx>
        <c:axId val="17203961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2039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181818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C#</a:t>
            </a:r>
            <a:r>
              <a:rPr lang="hu-HU" baseline="0"/>
              <a:t> tömbök vs listák 10000 adat rendezése esetán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rgbClr val="00B0F0"/>
              </a:solidFill>
              <a:miter lim="800000"/>
            </a:ln>
            <a:effectLst>
              <a:glow rad="63500">
                <a:srgbClr val="00B0F0">
                  <a:alpha val="24706"/>
                </a:srgbClr>
              </a:glow>
            </a:effectLst>
          </c:spPr>
          <c:invertIfNegative val="0"/>
          <c:val>
            <c:numRef>
              <c:f>(Munka1!$U$17:$U$21,Munka1!$U$37:$U$41,Munka1!$U$57:$U$61,Munka1!$U$77:$U$81,Munka1!$U$97:$U$101)</c:f>
              <c:numCache>
                <c:formatCode>General</c:formatCode>
                <c:ptCount val="25"/>
                <c:pt idx="0">
                  <c:v>172.90840000000003</c:v>
                </c:pt>
                <c:pt idx="5">
                  <c:v>159.46881999999999</c:v>
                </c:pt>
                <c:pt idx="10">
                  <c:v>0.85595999999999994</c:v>
                </c:pt>
                <c:pt idx="15">
                  <c:v>37.016820000000003</c:v>
                </c:pt>
                <c:pt idx="20">
                  <c:v>239.94793999999996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2-45F7-91A5-72620F7359F0}"/>
            </c:ext>
          </c:extLst>
        </c:ser>
        <c:ser>
          <c:idx val="1"/>
          <c:order val="1"/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val>
            <c:numRef>
              <c:f>(Munka1!$V$17:$V$21,Munka1!$V$37:$V$41,Munka1!$V$57:$V$61,Munka1!$V$77:$V$81,Munka1!$V$97:$V$101)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01-2842-45F7-91A5-72620F7359F0}"/>
            </c:ext>
          </c:extLst>
        </c:ser>
        <c:ser>
          <c:idx val="2"/>
          <c:order val="2"/>
          <c:spPr>
            <a:noFill/>
            <a:ln w="9525" cap="flat" cmpd="sng" algn="ctr">
              <a:solidFill>
                <a:srgbClr val="39D401"/>
              </a:solidFill>
              <a:miter lim="800000"/>
            </a:ln>
            <a:effectLst>
              <a:glow rad="63500">
                <a:srgbClr val="39D401">
                  <a:alpha val="24706"/>
                </a:srgbClr>
              </a:glow>
            </a:effectLst>
          </c:spPr>
          <c:invertIfNegative val="0"/>
          <c:val>
            <c:numRef>
              <c:f>(Munka1!$AG$17:$AG$21,Munka1!$AG$37:$AG$41,Munka1!$AG$57:$AG$61,Munka1!$AG$77:$AG$81,Munka1!$AG$97:$AG$101)</c:f>
              <c:numCache>
                <c:formatCode>General</c:formatCode>
                <c:ptCount val="25"/>
                <c:pt idx="0">
                  <c:v>934.20799999999997</c:v>
                </c:pt>
                <c:pt idx="5">
                  <c:v>725.36712000000011</c:v>
                </c:pt>
                <c:pt idx="10">
                  <c:v>2.4767399999999999</c:v>
                </c:pt>
                <c:pt idx="15">
                  <c:v>186.52884</c:v>
                </c:pt>
                <c:pt idx="20">
                  <c:v>727.31901999999991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42-45F7-91A5-72620F7359F0}"/>
            </c:ext>
          </c:extLst>
        </c:ser>
        <c:ser>
          <c:idx val="3"/>
          <c:order val="3"/>
          <c:spPr>
            <a:noFill/>
            <a:ln w="9525" cap="flat" cmpd="sng" algn="ctr">
              <a:solidFill>
                <a:schemeClr val="accent4"/>
              </a:solidFill>
              <a:miter lim="800000"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  <c:invertIfNegative val="0"/>
          <c:val>
            <c:numRef>
              <c:f>(Munka1!$AH$17:$AH$21,Munka1!$AH$37:$AH$41,Munka1!$AH$57:$AH$61,Munka1!$AH$77:$AH$81,Munka1!$AH$97:$AH$101)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03-2842-45F7-91A5-72620F735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907410928"/>
        <c:axId val="1907412848"/>
      </c:barChart>
      <c:catAx>
        <c:axId val="190741092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907412848"/>
        <c:crosses val="autoZero"/>
        <c:auto val="1"/>
        <c:lblAlgn val="ctr"/>
        <c:lblOffset val="100"/>
        <c:noMultiLvlLbl val="0"/>
      </c:catAx>
      <c:valAx>
        <c:axId val="190741284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90741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81818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Gyors rendezés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</a:ln>
            <a:effectLst>
              <a:glow rad="139700">
                <a:schemeClr val="accent5">
                  <a:lumMod val="60000"/>
                  <a:lumOff val="40000"/>
                  <a:alpha val="14000"/>
                </a:schemeClr>
              </a:glow>
            </a:effectLst>
          </c:spPr>
          <c:marker>
            <c:symbol val="none"/>
          </c:marker>
          <c:dPt>
            <c:idx val="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27A3-4A9F-B4C8-9141CA1199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Munka1!$AU$1:$AU$35</c15:sqref>
                  </c15:fullRef>
                </c:ext>
              </c:extLst>
              <c:f>(Munka1!$AU$1,Munka1!$AU$6,Munka1!$AU$11,Munka1!$AU$16,Munka1!$AU$21,Munka1!$AU$26,Munka1!$AU$31)</c:f>
              <c:numCache>
                <c:formatCode>General</c:formatCode>
                <c:ptCount val="7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Munka1!$AS$1:$AS$35</c15:sqref>
                  </c15:fullRef>
                </c:ext>
              </c:extLst>
              <c:f>(Munka1!$AS$1,Munka1!$AS$6,Munka1!$AS$11,Munka1!$AS$16,Munka1!$AS$21,Munka1!$AS$26,Munka1!$AS$31)</c:f>
              <c:numCache>
                <c:formatCode>General</c:formatCode>
                <c:ptCount val="7"/>
                <c:pt idx="0">
                  <c:v>1.1249999999999999E-3</c:v>
                </c:pt>
                <c:pt idx="1">
                  <c:v>1.2079999999999999E-2</c:v>
                </c:pt>
                <c:pt idx="2">
                  <c:v>0.14198</c:v>
                </c:pt>
                <c:pt idx="3">
                  <c:v>2.4767399999999999</c:v>
                </c:pt>
                <c:pt idx="4">
                  <c:v>14.56936</c:v>
                </c:pt>
                <c:pt idx="5">
                  <c:v>148.66576000000001</c:v>
                </c:pt>
                <c:pt idx="6">
                  <c:v>1549.6375200000002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A3-4A9F-B4C8-9141CA11994C}"/>
            </c:ext>
          </c:extLst>
        </c:ser>
        <c:ser>
          <c:idx val="1"/>
          <c:order val="1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Munka1!$AU$1:$AU$35</c15:sqref>
                  </c15:fullRef>
                </c:ext>
              </c:extLst>
              <c:f>(Munka1!$AU$1,Munka1!$AU$6,Munka1!$AU$11,Munka1!$AU$16,Munka1!$AU$21,Munka1!$AU$26,Munka1!$AU$31)</c:f>
              <c:numCache>
                <c:formatCode>General</c:formatCode>
                <c:ptCount val="7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  <c:pt idx="5">
                  <c:v>1000000</c:v>
                </c:pt>
                <c:pt idx="6">
                  <c:v>10000000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Munka1!$AT$1:$AT$35</c15:sqref>
                  </c15:fullRef>
                </c:ext>
              </c:extLst>
              <c:f>(Munka1!$AT$1,Munka1!$AT$6,Munka1!$AT$11,Munka1!$AT$16,Munka1!$AT$21,Munka1!$AT$26,Munka1!$AT$31)</c:f>
              <c:numCache>
                <c:formatCode>General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A3-4A9F-B4C8-9141CA11994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43590639"/>
        <c:axId val="643607439"/>
      </c:lineChart>
      <c:catAx>
        <c:axId val="64359063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200"/>
                  <a:t>Elemszám </a:t>
                </a:r>
              </a:p>
            </c:rich>
          </c:tx>
          <c:layout>
            <c:manualLayout>
              <c:xMode val="edge"/>
              <c:yMode val="edge"/>
              <c:x val="0.44311196405639441"/>
              <c:y val="0.931880641022865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643607439"/>
        <c:crosses val="autoZero"/>
        <c:auto val="1"/>
        <c:lblAlgn val="ctr"/>
        <c:lblOffset val="100"/>
        <c:noMultiLvlLbl val="0"/>
      </c:catAx>
      <c:valAx>
        <c:axId val="6436074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200"/>
                  <a:t>Idő ()Ms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64359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81818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Egyszerű cserés rendezés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Munka1!$BG$2:$BG$26</c15:sqref>
                  </c15:fullRef>
                </c:ext>
              </c:extLst>
              <c:f>(Munka1!$BG$2,Munka1!$BG$7,Munka1!$BG$12,Munka1!$BG$17,Munka1!$BG$22)</c:f>
              <c:numCache>
                <c:formatCode>General</c:formatCode>
                <c:ptCount val="5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Munka1!$BE$2:$BE$26</c15:sqref>
                  </c15:fullRef>
                </c:ext>
              </c:extLst>
              <c:f>(Munka1!$BE$2,Munka1!$BE$7,Munka1!$BE$12,Munka1!$BE$17,Munka1!$BE$22)</c:f>
              <c:numCache>
                <c:formatCode>General</c:formatCode>
                <c:ptCount val="5"/>
                <c:pt idx="0">
                  <c:v>2.2199999999999998E-3</c:v>
                </c:pt>
                <c:pt idx="1">
                  <c:v>3.5680000000000003E-2</c:v>
                </c:pt>
                <c:pt idx="2">
                  <c:v>3.1178599999999999</c:v>
                </c:pt>
                <c:pt idx="3">
                  <c:v>388.74</c:v>
                </c:pt>
                <c:pt idx="4">
                  <c:v>41978.660799999998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7D-4100-A93C-BD6C37301644}"/>
            </c:ext>
          </c:extLst>
        </c:ser>
        <c:ser>
          <c:idx val="1"/>
          <c:order val="1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hu-H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Munka1!$BG$2:$BG$26</c15:sqref>
                  </c15:fullRef>
                </c:ext>
              </c:extLst>
              <c:f>(Munka1!$BG$2,Munka1!$BG$7,Munka1!$BG$12,Munka1!$BG$17,Munka1!$BG$22)</c:f>
              <c:numCache>
                <c:formatCode>General</c:formatCode>
                <c:ptCount val="5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10000</c:v>
                </c:pt>
                <c:pt idx="4">
                  <c:v>100000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Munka1!$AT$1:$AT$35</c15:sqref>
                  </c15:fullRef>
                </c:ext>
              </c:extLst>
              <c:f>(Munka1!$AT$1,Munka1!$AT$6,Munka1!$AT$11,Munka1!$AT$16,Munka1!$AT$21,Munka1!$AT$29:$AT$35)</c:f>
              <c:numCache>
                <c:formatCode>General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7D-4100-A93C-BD6C3730164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43590639"/>
        <c:axId val="643607439"/>
      </c:lineChart>
      <c:catAx>
        <c:axId val="64359063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200"/>
                  <a:t>Elemszám </a:t>
                </a:r>
              </a:p>
            </c:rich>
          </c:tx>
          <c:layout>
            <c:manualLayout>
              <c:xMode val="edge"/>
              <c:yMode val="edge"/>
              <c:x val="0.44311196405639441"/>
              <c:y val="0.931880641022865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643607439"/>
        <c:crosses val="autoZero"/>
        <c:auto val="1"/>
        <c:lblAlgn val="ctr"/>
        <c:lblOffset val="100"/>
        <c:noMultiLvlLbl val="0"/>
      </c:catAx>
      <c:valAx>
        <c:axId val="6436074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200"/>
                  <a:t>Idő ()Ms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64359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181818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2</xdr:row>
      <xdr:rowOff>0</xdr:rowOff>
    </xdr:from>
    <xdr:to>
      <xdr:col>24</xdr:col>
      <xdr:colOff>304800</xdr:colOff>
      <xdr:row>3</xdr:row>
      <xdr:rowOff>121920</xdr:rowOff>
    </xdr:to>
    <xdr:sp macro="" textlink="">
      <xdr:nvSpPr>
        <xdr:cNvPr id="1025" name="AutoShape 1" descr="Kimeneti kép">
          <a:extLst>
            <a:ext uri="{FF2B5EF4-FFF2-40B4-BE49-F238E27FC236}">
              <a16:creationId xmlns:a16="http://schemas.microsoft.com/office/drawing/2014/main" id="{41B76B78-42C3-8F2E-9CEA-87E8CFDF3CD2}"/>
            </a:ext>
          </a:extLst>
        </xdr:cNvPr>
        <xdr:cNvSpPr>
          <a:spLocks noChangeAspect="1" noChangeArrowheads="1"/>
        </xdr:cNvSpPr>
      </xdr:nvSpPr>
      <xdr:spPr bwMode="auto">
        <a:xfrm>
          <a:off x="16870680" y="655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526676</xdr:colOff>
      <xdr:row>104</xdr:row>
      <xdr:rowOff>78440</xdr:rowOff>
    </xdr:from>
    <xdr:to>
      <xdr:col>9</xdr:col>
      <xdr:colOff>358588</xdr:colOff>
      <xdr:row>132</xdr:row>
      <xdr:rowOff>156881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1AC9B2D2-4501-1395-5430-1C592098A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425823</xdr:colOff>
      <xdr:row>104</xdr:row>
      <xdr:rowOff>90766</xdr:rowOff>
    </xdr:from>
    <xdr:to>
      <xdr:col>21</xdr:col>
      <xdr:colOff>179294</xdr:colOff>
      <xdr:row>132</xdr:row>
      <xdr:rowOff>156881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DB40AC10-11E0-AF58-EE56-67F14E16E8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493056</xdr:colOff>
      <xdr:row>136</xdr:row>
      <xdr:rowOff>11206</xdr:rowOff>
    </xdr:from>
    <xdr:to>
      <xdr:col>9</xdr:col>
      <xdr:colOff>437029</xdr:colOff>
      <xdr:row>162</xdr:row>
      <xdr:rowOff>133349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D0357D61-9EDA-6D21-08B4-E8F0352726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560294</xdr:colOff>
      <xdr:row>135</xdr:row>
      <xdr:rowOff>123265</xdr:rowOff>
    </xdr:from>
    <xdr:to>
      <xdr:col>21</xdr:col>
      <xdr:colOff>246529</xdr:colOff>
      <xdr:row>162</xdr:row>
      <xdr:rowOff>155763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7D56B7C-43F6-FFD7-3121-AD8C4B9EED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163285</xdr:colOff>
      <xdr:row>104</xdr:row>
      <xdr:rowOff>81644</xdr:rowOff>
    </xdr:from>
    <xdr:to>
      <xdr:col>32</xdr:col>
      <xdr:colOff>130629</xdr:colOff>
      <xdr:row>132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2047DF7-29C4-50BE-D66B-1D04E41F0E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185057</xdr:colOff>
      <xdr:row>135</xdr:row>
      <xdr:rowOff>114300</xdr:rowOff>
    </xdr:from>
    <xdr:to>
      <xdr:col>32</xdr:col>
      <xdr:colOff>185057</xdr:colOff>
      <xdr:row>162</xdr:row>
      <xdr:rowOff>119742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C263E7D-F7A8-1670-D526-79A51C647E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366453</xdr:colOff>
      <xdr:row>104</xdr:row>
      <xdr:rowOff>85550</xdr:rowOff>
    </xdr:from>
    <xdr:to>
      <xdr:col>45</xdr:col>
      <xdr:colOff>34637</xdr:colOff>
      <xdr:row>132</xdr:row>
      <xdr:rowOff>17317</xdr:rowOff>
    </xdr:to>
    <xdr:graphicFrame macro="">
      <xdr:nvGraphicFramePr>
        <xdr:cNvPr id="8" name="Diagram 7">
          <a:extLst>
            <a:ext uri="{FF2B5EF4-FFF2-40B4-BE49-F238E27FC236}">
              <a16:creationId xmlns:a16="http://schemas.microsoft.com/office/drawing/2014/main" id="{3E8ABA24-8E02-3EF2-7FC3-E6875D71CD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48</xdr:col>
      <xdr:colOff>0</xdr:colOff>
      <xdr:row>2</xdr:row>
      <xdr:rowOff>0</xdr:rowOff>
    </xdr:from>
    <xdr:ext cx="304800" cy="309078"/>
    <xdr:sp macro="" textlink="">
      <xdr:nvSpPr>
        <xdr:cNvPr id="10" name="AutoShape 1" descr="Kimeneti kép">
          <a:extLst>
            <a:ext uri="{FF2B5EF4-FFF2-40B4-BE49-F238E27FC236}">
              <a16:creationId xmlns:a16="http://schemas.microsoft.com/office/drawing/2014/main" id="{1AAFC379-5856-4C9A-99C3-CE20A3461D4F}"/>
            </a:ext>
          </a:extLst>
        </xdr:cNvPr>
        <xdr:cNvSpPr>
          <a:spLocks noChangeAspect="1" noChangeArrowheads="1"/>
        </xdr:cNvSpPr>
      </xdr:nvSpPr>
      <xdr:spPr bwMode="auto">
        <a:xfrm>
          <a:off x="16977895" y="655053"/>
          <a:ext cx="304800" cy="3090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33</xdr:col>
      <xdr:colOff>344978</xdr:colOff>
      <xdr:row>135</xdr:row>
      <xdr:rowOff>80357</xdr:rowOff>
    </xdr:from>
    <xdr:to>
      <xdr:col>45</xdr:col>
      <xdr:colOff>13162</xdr:colOff>
      <xdr:row>162</xdr:row>
      <xdr:rowOff>128502</xdr:rowOff>
    </xdr:to>
    <xdr:graphicFrame macro="">
      <xdr:nvGraphicFramePr>
        <xdr:cNvPr id="15" name="Diagram 14">
          <a:extLst>
            <a:ext uri="{FF2B5EF4-FFF2-40B4-BE49-F238E27FC236}">
              <a16:creationId xmlns:a16="http://schemas.microsoft.com/office/drawing/2014/main" id="{C9C2C044-8EC0-45A1-90DB-D6575DEDAA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CC469-DBF7-4AEB-9906-415D34189BF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015D9-583A-4023-8353-48201C4E59A9}">
  <dimension ref="A1:BG102"/>
  <sheetViews>
    <sheetView tabSelected="1" topLeftCell="P115" zoomScale="55" zoomScaleNormal="55" workbookViewId="0">
      <selection activeCell="BL7" sqref="BL7"/>
    </sheetView>
  </sheetViews>
  <sheetFormatPr defaultRowHeight="14.4" x14ac:dyDescent="0.3"/>
  <cols>
    <col min="5" max="5" width="17.6640625" customWidth="1"/>
    <col min="6" max="6" width="11.6640625" customWidth="1"/>
    <col min="7" max="7" width="17.33203125" customWidth="1"/>
    <col min="8" max="8" width="11.88671875" customWidth="1"/>
    <col min="19" max="19" width="16" customWidth="1"/>
    <col min="20" max="20" width="11.44140625" customWidth="1"/>
    <col min="31" max="31" width="14.44140625" customWidth="1"/>
    <col min="32" max="32" width="13.33203125" customWidth="1"/>
  </cols>
  <sheetData>
    <row r="1" spans="1:59" ht="36.6" customHeight="1" thickTop="1" thickBot="1" x14ac:dyDescent="0.35">
      <c r="A1" s="33" t="s">
        <v>0</v>
      </c>
      <c r="B1" s="34"/>
      <c r="C1" s="35" t="s">
        <v>1</v>
      </c>
      <c r="D1" s="36"/>
      <c r="E1" s="37" t="s">
        <v>10</v>
      </c>
      <c r="F1" s="38"/>
      <c r="G1" s="39" t="s">
        <v>2</v>
      </c>
      <c r="H1" s="40"/>
      <c r="I1" s="41" t="s">
        <v>3</v>
      </c>
      <c r="J1" s="42"/>
      <c r="M1" s="33" t="s">
        <v>0</v>
      </c>
      <c r="N1" s="34"/>
      <c r="O1" s="35" t="s">
        <v>12</v>
      </c>
      <c r="P1" s="36"/>
      <c r="Q1" s="37" t="s">
        <v>10</v>
      </c>
      <c r="R1" s="38"/>
      <c r="S1" s="39" t="s">
        <v>2</v>
      </c>
      <c r="T1" s="40"/>
      <c r="U1" s="41" t="s">
        <v>3</v>
      </c>
      <c r="V1" s="42"/>
      <c r="Y1" s="33" t="s">
        <v>0</v>
      </c>
      <c r="Z1" s="34"/>
      <c r="AA1" s="35" t="s">
        <v>13</v>
      </c>
      <c r="AB1" s="36"/>
      <c r="AC1" s="37" t="s">
        <v>10</v>
      </c>
      <c r="AD1" s="38"/>
      <c r="AE1" s="39" t="s">
        <v>2</v>
      </c>
      <c r="AF1" s="40"/>
      <c r="AG1" s="41" t="s">
        <v>3</v>
      </c>
      <c r="AH1" s="42"/>
      <c r="AK1" s="51">
        <v>10</v>
      </c>
      <c r="AL1" s="52"/>
      <c r="AM1" s="57" t="s">
        <v>9</v>
      </c>
      <c r="AN1" s="58"/>
      <c r="AO1" s="59"/>
      <c r="AP1" s="60"/>
      <c r="AQ1" s="53" t="s">
        <v>7</v>
      </c>
      <c r="AR1" s="54"/>
      <c r="AS1" s="11">
        <f t="shared" ref="AS1" si="0">AVERAGE(AO1:AP5)</f>
        <v>1.1249999999999999E-3</v>
      </c>
      <c r="AT1" s="12"/>
      <c r="AU1" s="1">
        <v>10</v>
      </c>
      <c r="AW1" s="33" t="s">
        <v>0</v>
      </c>
      <c r="AX1" s="34"/>
      <c r="AY1" s="35" t="s">
        <v>13</v>
      </c>
      <c r="AZ1" s="36"/>
      <c r="BA1" s="37" t="s">
        <v>10</v>
      </c>
      <c r="BB1" s="38"/>
      <c r="BC1" s="39" t="s">
        <v>2</v>
      </c>
      <c r="BD1" s="40"/>
      <c r="BE1" s="41" t="s">
        <v>3</v>
      </c>
      <c r="BF1" s="42"/>
    </row>
    <row r="2" spans="1:59" ht="15" thickTop="1" x14ac:dyDescent="0.3">
      <c r="A2" s="3">
        <v>10</v>
      </c>
      <c r="B2" s="4"/>
      <c r="C2" s="43" t="s">
        <v>4</v>
      </c>
      <c r="D2" s="44"/>
      <c r="E2" s="7">
        <v>0</v>
      </c>
      <c r="F2" s="8"/>
      <c r="G2" s="9" t="s">
        <v>5</v>
      </c>
      <c r="H2" s="10"/>
      <c r="I2" s="11">
        <f>AVERAGE(E2:F6)</f>
        <v>1.9999998799999998E-2</v>
      </c>
      <c r="J2" s="12"/>
      <c r="M2" s="3">
        <v>10</v>
      </c>
      <c r="N2" s="4"/>
      <c r="O2" s="43" t="s">
        <v>9</v>
      </c>
      <c r="P2" s="44"/>
      <c r="Q2" s="7">
        <v>3.8999999999999998E-3</v>
      </c>
      <c r="R2" s="8"/>
      <c r="S2" s="9" t="s">
        <v>5</v>
      </c>
      <c r="T2" s="10"/>
      <c r="U2" s="11">
        <f>AVERAGE(Q2:R6)</f>
        <v>1.16E-3</v>
      </c>
      <c r="V2" s="12"/>
      <c r="Y2" s="3">
        <v>10</v>
      </c>
      <c r="Z2" s="4"/>
      <c r="AA2" s="43" t="s">
        <v>9</v>
      </c>
      <c r="AB2" s="44"/>
      <c r="AC2" s="7">
        <v>1.11E-2</v>
      </c>
      <c r="AD2" s="8"/>
      <c r="AE2" s="9" t="s">
        <v>5</v>
      </c>
      <c r="AF2" s="10"/>
      <c r="AG2" s="11">
        <f>AVERAGE(AC2:AD6)</f>
        <v>3.4000000000000002E-3</v>
      </c>
      <c r="AH2" s="12"/>
      <c r="AK2" s="17">
        <v>10</v>
      </c>
      <c r="AL2" s="18"/>
      <c r="AM2" s="19" t="s">
        <v>9</v>
      </c>
      <c r="AN2" s="20"/>
      <c r="AO2" s="21">
        <v>1.4E-3</v>
      </c>
      <c r="AP2" s="22"/>
      <c r="AQ2" s="23" t="s">
        <v>7</v>
      </c>
      <c r="AR2" s="24"/>
      <c r="AS2" s="13"/>
      <c r="AT2" s="14"/>
      <c r="AU2" s="1"/>
      <c r="AW2" s="3">
        <v>10</v>
      </c>
      <c r="AX2" s="4"/>
      <c r="AY2" s="43" t="s">
        <v>9</v>
      </c>
      <c r="AZ2" s="44"/>
      <c r="BA2" s="7">
        <v>8.5000000000000006E-3</v>
      </c>
      <c r="BB2" s="8"/>
      <c r="BC2" s="9" t="s">
        <v>5</v>
      </c>
      <c r="BD2" s="10"/>
      <c r="BE2" s="82">
        <f>AVERAGE(BA2:BB6)</f>
        <v>2.2199999999999998E-3</v>
      </c>
      <c r="BF2" s="83"/>
      <c r="BG2" s="1">
        <v>10</v>
      </c>
    </row>
    <row r="3" spans="1:59" x14ac:dyDescent="0.3">
      <c r="A3" s="17">
        <v>10</v>
      </c>
      <c r="B3" s="18"/>
      <c r="C3" s="61" t="s">
        <v>4</v>
      </c>
      <c r="D3" s="62"/>
      <c r="E3" s="21">
        <v>0</v>
      </c>
      <c r="F3" s="22"/>
      <c r="G3" s="23" t="s">
        <v>5</v>
      </c>
      <c r="H3" s="24"/>
      <c r="I3" s="13"/>
      <c r="J3" s="14"/>
      <c r="M3" s="17">
        <v>10</v>
      </c>
      <c r="N3" s="18"/>
      <c r="O3" s="19" t="s">
        <v>9</v>
      </c>
      <c r="P3" s="20"/>
      <c r="Q3" s="21">
        <v>5.0000000000000001E-4</v>
      </c>
      <c r="R3" s="22"/>
      <c r="S3" s="23" t="s">
        <v>5</v>
      </c>
      <c r="T3" s="24"/>
      <c r="U3" s="13"/>
      <c r="V3" s="14"/>
      <c r="Y3" s="17">
        <v>10</v>
      </c>
      <c r="Z3" s="18"/>
      <c r="AA3" s="19" t="s">
        <v>9</v>
      </c>
      <c r="AB3" s="20"/>
      <c r="AC3" s="21">
        <v>1.4E-3</v>
      </c>
      <c r="AD3" s="22"/>
      <c r="AE3" s="23" t="s">
        <v>5</v>
      </c>
      <c r="AF3" s="24"/>
      <c r="AG3" s="13"/>
      <c r="AH3" s="14"/>
      <c r="AK3" s="17">
        <v>10</v>
      </c>
      <c r="AL3" s="18"/>
      <c r="AM3" s="19" t="s">
        <v>9</v>
      </c>
      <c r="AN3" s="20"/>
      <c r="AO3" s="21">
        <v>1.4E-3</v>
      </c>
      <c r="AP3" s="22"/>
      <c r="AQ3" s="23" t="s">
        <v>7</v>
      </c>
      <c r="AR3" s="24"/>
      <c r="AS3" s="13"/>
      <c r="AT3" s="14"/>
      <c r="AU3" s="1"/>
      <c r="AW3" s="17">
        <v>10</v>
      </c>
      <c r="AX3" s="18"/>
      <c r="AY3" s="19" t="s">
        <v>9</v>
      </c>
      <c r="AZ3" s="20"/>
      <c r="BA3" s="21">
        <v>5.9999999999999995E-4</v>
      </c>
      <c r="BB3" s="22"/>
      <c r="BC3" s="23" t="s">
        <v>5</v>
      </c>
      <c r="BD3" s="24"/>
      <c r="BE3" s="84"/>
      <c r="BF3" s="85"/>
      <c r="BG3" s="1"/>
    </row>
    <row r="4" spans="1:59" ht="16.2" customHeight="1" x14ac:dyDescent="0.3">
      <c r="A4" s="17">
        <v>10</v>
      </c>
      <c r="B4" s="18"/>
      <c r="C4" s="61" t="s">
        <v>4</v>
      </c>
      <c r="D4" s="62"/>
      <c r="E4" s="21">
        <v>9.9999993999999995E-2</v>
      </c>
      <c r="F4" s="22"/>
      <c r="G4" s="23" t="s">
        <v>5</v>
      </c>
      <c r="H4" s="24"/>
      <c r="I4" s="13"/>
      <c r="J4" s="14"/>
      <c r="M4" s="17">
        <v>10</v>
      </c>
      <c r="N4" s="18"/>
      <c r="O4" s="19" t="s">
        <v>9</v>
      </c>
      <c r="P4" s="20"/>
      <c r="Q4" s="21">
        <v>2.9999999999999997E-4</v>
      </c>
      <c r="R4" s="22"/>
      <c r="S4" s="23" t="s">
        <v>5</v>
      </c>
      <c r="T4" s="24"/>
      <c r="U4" s="13"/>
      <c r="V4" s="14"/>
      <c r="Y4" s="17">
        <v>10</v>
      </c>
      <c r="Z4" s="18"/>
      <c r="AA4" s="19" t="s">
        <v>9</v>
      </c>
      <c r="AB4" s="20"/>
      <c r="AC4" s="21">
        <v>1.6000000000000001E-3</v>
      </c>
      <c r="AD4" s="22"/>
      <c r="AE4" s="23" t="s">
        <v>5</v>
      </c>
      <c r="AF4" s="24"/>
      <c r="AG4" s="13"/>
      <c r="AH4" s="14"/>
      <c r="AK4" s="17">
        <v>10</v>
      </c>
      <c r="AL4" s="18"/>
      <c r="AM4" s="19" t="s">
        <v>9</v>
      </c>
      <c r="AN4" s="20"/>
      <c r="AO4" s="21">
        <v>1E-3</v>
      </c>
      <c r="AP4" s="22"/>
      <c r="AQ4" s="23" t="s">
        <v>7</v>
      </c>
      <c r="AR4" s="24"/>
      <c r="AS4" s="13"/>
      <c r="AT4" s="14"/>
      <c r="AU4" s="1"/>
      <c r="AW4" s="17">
        <v>10</v>
      </c>
      <c r="AX4" s="18"/>
      <c r="AY4" s="19" t="s">
        <v>9</v>
      </c>
      <c r="AZ4" s="20"/>
      <c r="BA4" s="21">
        <v>5.9999999999999995E-4</v>
      </c>
      <c r="BB4" s="22"/>
      <c r="BC4" s="23" t="s">
        <v>5</v>
      </c>
      <c r="BD4" s="24"/>
      <c r="BE4" s="84"/>
      <c r="BF4" s="85"/>
      <c r="BG4" s="1"/>
    </row>
    <row r="5" spans="1:59" ht="15" thickBot="1" x14ac:dyDescent="0.35">
      <c r="A5" s="17">
        <v>10</v>
      </c>
      <c r="B5" s="18"/>
      <c r="C5" s="61" t="s">
        <v>4</v>
      </c>
      <c r="D5" s="62"/>
      <c r="E5" s="21">
        <v>0</v>
      </c>
      <c r="F5" s="22"/>
      <c r="G5" s="23" t="s">
        <v>5</v>
      </c>
      <c r="H5" s="24"/>
      <c r="I5" s="13"/>
      <c r="J5" s="14"/>
      <c r="M5" s="17">
        <v>10</v>
      </c>
      <c r="N5" s="18"/>
      <c r="O5" s="19" t="s">
        <v>9</v>
      </c>
      <c r="P5" s="20"/>
      <c r="Q5" s="21">
        <v>5.9999999999999995E-4</v>
      </c>
      <c r="R5" s="22"/>
      <c r="S5" s="23" t="s">
        <v>5</v>
      </c>
      <c r="T5" s="24"/>
      <c r="U5" s="13"/>
      <c r="V5" s="14"/>
      <c r="Y5" s="17">
        <v>10</v>
      </c>
      <c r="Z5" s="18"/>
      <c r="AA5" s="19" t="s">
        <v>9</v>
      </c>
      <c r="AB5" s="20"/>
      <c r="AC5" s="21">
        <v>1.4E-3</v>
      </c>
      <c r="AD5" s="22"/>
      <c r="AE5" s="23" t="s">
        <v>5</v>
      </c>
      <c r="AF5" s="24"/>
      <c r="AG5" s="13"/>
      <c r="AH5" s="14"/>
      <c r="AK5" s="25">
        <v>10</v>
      </c>
      <c r="AL5" s="26"/>
      <c r="AM5" s="27" t="s">
        <v>9</v>
      </c>
      <c r="AN5" s="28"/>
      <c r="AO5" s="29">
        <v>6.9999999999999999E-4</v>
      </c>
      <c r="AP5" s="30"/>
      <c r="AQ5" s="31" t="s">
        <v>7</v>
      </c>
      <c r="AR5" s="32"/>
      <c r="AS5" s="15"/>
      <c r="AT5" s="16"/>
      <c r="AU5" s="1"/>
      <c r="AW5" s="17">
        <v>10</v>
      </c>
      <c r="AX5" s="18"/>
      <c r="AY5" s="19" t="s">
        <v>9</v>
      </c>
      <c r="AZ5" s="20"/>
      <c r="BA5" s="21">
        <v>6.9999999999999999E-4</v>
      </c>
      <c r="BB5" s="22"/>
      <c r="BC5" s="23" t="s">
        <v>5</v>
      </c>
      <c r="BD5" s="24"/>
      <c r="BE5" s="84"/>
      <c r="BF5" s="85"/>
      <c r="BG5" s="1"/>
    </row>
    <row r="6" spans="1:59" ht="15.6" thickTop="1" thickBot="1" x14ac:dyDescent="0.35">
      <c r="A6" s="25">
        <v>10</v>
      </c>
      <c r="B6" s="26"/>
      <c r="C6" s="63" t="s">
        <v>4</v>
      </c>
      <c r="D6" s="64"/>
      <c r="E6" s="29">
        <v>0</v>
      </c>
      <c r="F6" s="30"/>
      <c r="G6" s="31" t="s">
        <v>5</v>
      </c>
      <c r="H6" s="32"/>
      <c r="I6" s="15"/>
      <c r="J6" s="16"/>
      <c r="M6" s="25">
        <v>10</v>
      </c>
      <c r="N6" s="26"/>
      <c r="O6" s="27" t="s">
        <v>9</v>
      </c>
      <c r="P6" s="28"/>
      <c r="Q6" s="29">
        <v>5.0000000000000001E-4</v>
      </c>
      <c r="R6" s="30"/>
      <c r="S6" s="31" t="s">
        <v>5</v>
      </c>
      <c r="T6" s="32"/>
      <c r="U6" s="15"/>
      <c r="V6" s="16"/>
      <c r="Y6" s="25">
        <v>10</v>
      </c>
      <c r="Z6" s="26"/>
      <c r="AA6" s="27" t="s">
        <v>9</v>
      </c>
      <c r="AB6" s="28"/>
      <c r="AC6" s="29">
        <v>1.5E-3</v>
      </c>
      <c r="AD6" s="30"/>
      <c r="AE6" s="31" t="s">
        <v>5</v>
      </c>
      <c r="AF6" s="32"/>
      <c r="AG6" s="15"/>
      <c r="AH6" s="16"/>
      <c r="AK6" s="51">
        <v>100</v>
      </c>
      <c r="AL6" s="52"/>
      <c r="AM6" s="5" t="s">
        <v>9</v>
      </c>
      <c r="AN6" s="6"/>
      <c r="AO6" s="7">
        <v>1.3299999999999999E-2</v>
      </c>
      <c r="AP6" s="8"/>
      <c r="AQ6" s="53" t="s">
        <v>7</v>
      </c>
      <c r="AR6" s="54"/>
      <c r="AS6" s="11">
        <f t="shared" ref="AS6" si="1">AVERAGE(AO6:AP10)</f>
        <v>1.2079999999999999E-2</v>
      </c>
      <c r="AT6" s="12"/>
      <c r="AU6" s="1">
        <v>100</v>
      </c>
      <c r="AW6" s="25">
        <v>10</v>
      </c>
      <c r="AX6" s="26"/>
      <c r="AY6" s="27" t="s">
        <v>9</v>
      </c>
      <c r="AZ6" s="28"/>
      <c r="BA6" s="29">
        <v>6.9999999999999999E-4</v>
      </c>
      <c r="BB6" s="30"/>
      <c r="BC6" s="31" t="s">
        <v>5</v>
      </c>
      <c r="BD6" s="32"/>
      <c r="BE6" s="86"/>
      <c r="BF6" s="87"/>
      <c r="BG6" s="1"/>
    </row>
    <row r="7" spans="1:59" ht="15" thickTop="1" x14ac:dyDescent="0.3">
      <c r="A7" s="3">
        <v>100</v>
      </c>
      <c r="B7" s="4"/>
      <c r="C7" s="43" t="s">
        <v>4</v>
      </c>
      <c r="D7" s="44"/>
      <c r="E7" s="7">
        <v>9.9999993999999995E-2</v>
      </c>
      <c r="F7" s="8"/>
      <c r="G7" s="9" t="s">
        <v>5</v>
      </c>
      <c r="H7" s="10"/>
      <c r="I7" s="11">
        <f>AVERAGE(E7:F11)</f>
        <v>4.000000058E-2</v>
      </c>
      <c r="J7" s="12"/>
      <c r="M7" s="3">
        <v>100</v>
      </c>
      <c r="N7" s="4"/>
      <c r="O7" s="5" t="s">
        <v>9</v>
      </c>
      <c r="P7" s="6"/>
      <c r="Q7" s="7">
        <v>1.7399999999999999E-2</v>
      </c>
      <c r="R7" s="8"/>
      <c r="S7" s="9" t="s">
        <v>5</v>
      </c>
      <c r="T7" s="10"/>
      <c r="U7" s="11">
        <f>AVERAGE(Q7:R11)</f>
        <v>1.6240000000000001E-2</v>
      </c>
      <c r="V7" s="12"/>
      <c r="Y7" s="3">
        <v>100</v>
      </c>
      <c r="Z7" s="4"/>
      <c r="AA7" s="5" t="s">
        <v>9</v>
      </c>
      <c r="AB7" s="6"/>
      <c r="AC7" s="7">
        <v>8.7400000000000005E-2</v>
      </c>
      <c r="AD7" s="8"/>
      <c r="AE7" s="9" t="s">
        <v>5</v>
      </c>
      <c r="AF7" s="10"/>
      <c r="AG7" s="11">
        <f>AVERAGE(AC7:AD11)</f>
        <v>8.5379999999999998E-2</v>
      </c>
      <c r="AH7" s="12"/>
      <c r="AK7" s="17">
        <v>100</v>
      </c>
      <c r="AL7" s="18"/>
      <c r="AM7" s="19" t="s">
        <v>9</v>
      </c>
      <c r="AN7" s="20"/>
      <c r="AO7" s="21">
        <v>8.8000000000000005E-3</v>
      </c>
      <c r="AP7" s="22"/>
      <c r="AQ7" s="23" t="s">
        <v>7</v>
      </c>
      <c r="AR7" s="24"/>
      <c r="AS7" s="13"/>
      <c r="AT7" s="14"/>
      <c r="AU7" s="1"/>
      <c r="AW7" s="3">
        <v>100</v>
      </c>
      <c r="AX7" s="4"/>
      <c r="AY7" s="5" t="s">
        <v>9</v>
      </c>
      <c r="AZ7" s="6"/>
      <c r="BA7" s="7">
        <v>3.3300000000000003E-2</v>
      </c>
      <c r="BB7" s="8"/>
      <c r="BC7" s="9" t="s">
        <v>5</v>
      </c>
      <c r="BD7" s="10"/>
      <c r="BE7" s="82">
        <f>AVERAGE(BA7:BB11)</f>
        <v>3.5680000000000003E-2</v>
      </c>
      <c r="BF7" s="83"/>
      <c r="BG7" s="1">
        <v>100</v>
      </c>
    </row>
    <row r="8" spans="1:59" x14ac:dyDescent="0.3">
      <c r="A8" s="17">
        <v>100</v>
      </c>
      <c r="B8" s="18"/>
      <c r="C8" s="61" t="s">
        <v>4</v>
      </c>
      <c r="D8" s="62"/>
      <c r="E8" s="21">
        <v>0</v>
      </c>
      <c r="F8" s="22"/>
      <c r="G8" s="23" t="s">
        <v>5</v>
      </c>
      <c r="H8" s="24"/>
      <c r="I8" s="13"/>
      <c r="J8" s="14"/>
      <c r="M8" s="17">
        <v>100</v>
      </c>
      <c r="N8" s="18"/>
      <c r="O8" s="19" t="s">
        <v>9</v>
      </c>
      <c r="P8" s="20"/>
      <c r="Q8" s="21">
        <v>1.7600000000000001E-2</v>
      </c>
      <c r="R8" s="22"/>
      <c r="S8" s="23" t="s">
        <v>5</v>
      </c>
      <c r="T8" s="24"/>
      <c r="U8" s="13"/>
      <c r="V8" s="14"/>
      <c r="Y8" s="17">
        <v>100</v>
      </c>
      <c r="Z8" s="18"/>
      <c r="AA8" s="19" t="s">
        <v>9</v>
      </c>
      <c r="AB8" s="20"/>
      <c r="AC8" s="21">
        <v>8.3699999999999997E-2</v>
      </c>
      <c r="AD8" s="22"/>
      <c r="AE8" s="23" t="s">
        <v>5</v>
      </c>
      <c r="AF8" s="24"/>
      <c r="AG8" s="13"/>
      <c r="AH8" s="14"/>
      <c r="AK8" s="17">
        <v>100</v>
      </c>
      <c r="AL8" s="18"/>
      <c r="AM8" s="19" t="s">
        <v>9</v>
      </c>
      <c r="AN8" s="20"/>
      <c r="AO8" s="21">
        <v>1.2999999999999999E-2</v>
      </c>
      <c r="AP8" s="22"/>
      <c r="AQ8" s="23" t="s">
        <v>7</v>
      </c>
      <c r="AR8" s="24"/>
      <c r="AS8" s="13"/>
      <c r="AT8" s="14"/>
      <c r="AU8" s="1"/>
      <c r="AW8" s="17">
        <v>100</v>
      </c>
      <c r="AX8" s="18"/>
      <c r="AY8" s="19" t="s">
        <v>9</v>
      </c>
      <c r="AZ8" s="20"/>
      <c r="BA8" s="21">
        <v>3.9E-2</v>
      </c>
      <c r="BB8" s="22"/>
      <c r="BC8" s="23" t="s">
        <v>5</v>
      </c>
      <c r="BD8" s="24"/>
      <c r="BE8" s="84"/>
      <c r="BF8" s="85"/>
      <c r="BG8" s="1"/>
    </row>
    <row r="9" spans="1:59" x14ac:dyDescent="0.3">
      <c r="A9" s="17">
        <v>100</v>
      </c>
      <c r="B9" s="18"/>
      <c r="C9" s="61" t="s">
        <v>4</v>
      </c>
      <c r="D9" s="62"/>
      <c r="E9" s="21">
        <v>0</v>
      </c>
      <c r="F9" s="22"/>
      <c r="G9" s="23" t="s">
        <v>5</v>
      </c>
      <c r="H9" s="24"/>
      <c r="I9" s="13"/>
      <c r="J9" s="14"/>
      <c r="M9" s="17">
        <v>100</v>
      </c>
      <c r="N9" s="18"/>
      <c r="O9" s="19" t="s">
        <v>9</v>
      </c>
      <c r="P9" s="20"/>
      <c r="Q9" s="21">
        <v>1.6E-2</v>
      </c>
      <c r="R9" s="22"/>
      <c r="S9" s="23" t="s">
        <v>5</v>
      </c>
      <c r="T9" s="24"/>
      <c r="U9" s="13"/>
      <c r="V9" s="14"/>
      <c r="Y9" s="17">
        <v>100</v>
      </c>
      <c r="Z9" s="18"/>
      <c r="AA9" s="19" t="s">
        <v>9</v>
      </c>
      <c r="AB9" s="20"/>
      <c r="AC9" s="21">
        <v>8.6099999999999996E-2</v>
      </c>
      <c r="AD9" s="22"/>
      <c r="AE9" s="23" t="s">
        <v>5</v>
      </c>
      <c r="AF9" s="24"/>
      <c r="AG9" s="13"/>
      <c r="AH9" s="14"/>
      <c r="AK9" s="17">
        <v>100</v>
      </c>
      <c r="AL9" s="18"/>
      <c r="AM9" s="19" t="s">
        <v>9</v>
      </c>
      <c r="AN9" s="20"/>
      <c r="AO9" s="21">
        <v>1.2699999999999999E-2</v>
      </c>
      <c r="AP9" s="22"/>
      <c r="AQ9" s="23" t="s">
        <v>7</v>
      </c>
      <c r="AR9" s="24"/>
      <c r="AS9" s="13"/>
      <c r="AT9" s="14"/>
      <c r="AU9" s="1"/>
      <c r="AW9" s="17">
        <v>100</v>
      </c>
      <c r="AX9" s="18"/>
      <c r="AY9" s="19" t="s">
        <v>9</v>
      </c>
      <c r="AZ9" s="20"/>
      <c r="BA9" s="21">
        <v>3.4700000000000002E-2</v>
      </c>
      <c r="BB9" s="22"/>
      <c r="BC9" s="23" t="s">
        <v>5</v>
      </c>
      <c r="BD9" s="24"/>
      <c r="BE9" s="84"/>
      <c r="BF9" s="85"/>
      <c r="BG9" s="1"/>
    </row>
    <row r="10" spans="1:59" ht="15" thickBot="1" x14ac:dyDescent="0.35">
      <c r="A10" s="17">
        <v>100</v>
      </c>
      <c r="B10" s="18"/>
      <c r="C10" s="61" t="s">
        <v>4</v>
      </c>
      <c r="D10" s="62"/>
      <c r="E10" s="21">
        <v>0.10000000890000001</v>
      </c>
      <c r="F10" s="22"/>
      <c r="G10" s="23" t="s">
        <v>5</v>
      </c>
      <c r="H10" s="24"/>
      <c r="I10" s="13"/>
      <c r="J10" s="14"/>
      <c r="M10" s="17">
        <v>100</v>
      </c>
      <c r="N10" s="18"/>
      <c r="O10" s="19" t="s">
        <v>9</v>
      </c>
      <c r="P10" s="20"/>
      <c r="Q10" s="21">
        <v>1.52E-2</v>
      </c>
      <c r="R10" s="22"/>
      <c r="S10" s="23" t="s">
        <v>5</v>
      </c>
      <c r="T10" s="24"/>
      <c r="U10" s="13"/>
      <c r="V10" s="14"/>
      <c r="Y10" s="17">
        <v>100</v>
      </c>
      <c r="Z10" s="18"/>
      <c r="AA10" s="19" t="s">
        <v>9</v>
      </c>
      <c r="AB10" s="20"/>
      <c r="AC10" s="21">
        <v>8.2500000000000004E-2</v>
      </c>
      <c r="AD10" s="22"/>
      <c r="AE10" s="23" t="s">
        <v>5</v>
      </c>
      <c r="AF10" s="24"/>
      <c r="AG10" s="13"/>
      <c r="AH10" s="14"/>
      <c r="AK10" s="25">
        <v>100</v>
      </c>
      <c r="AL10" s="26"/>
      <c r="AM10" s="27" t="s">
        <v>9</v>
      </c>
      <c r="AN10" s="28"/>
      <c r="AO10" s="55">
        <v>1.26E-2</v>
      </c>
      <c r="AP10" s="56"/>
      <c r="AQ10" s="31" t="s">
        <v>7</v>
      </c>
      <c r="AR10" s="32"/>
      <c r="AS10" s="15"/>
      <c r="AT10" s="16"/>
      <c r="AU10" s="1"/>
      <c r="AW10" s="17">
        <v>100</v>
      </c>
      <c r="AX10" s="18"/>
      <c r="AY10" s="19" t="s">
        <v>9</v>
      </c>
      <c r="AZ10" s="20"/>
      <c r="BA10" s="21">
        <v>3.9699999999999999E-2</v>
      </c>
      <c r="BB10" s="22"/>
      <c r="BC10" s="23" t="s">
        <v>5</v>
      </c>
      <c r="BD10" s="24"/>
      <c r="BE10" s="84"/>
      <c r="BF10" s="85"/>
      <c r="BG10" s="1"/>
    </row>
    <row r="11" spans="1:59" ht="15.6" thickTop="1" thickBot="1" x14ac:dyDescent="0.35">
      <c r="A11" s="25">
        <v>100</v>
      </c>
      <c r="B11" s="26"/>
      <c r="C11" s="63" t="s">
        <v>4</v>
      </c>
      <c r="D11" s="64"/>
      <c r="E11" s="29">
        <v>0</v>
      </c>
      <c r="F11" s="30"/>
      <c r="G11" s="31" t="s">
        <v>5</v>
      </c>
      <c r="H11" s="32"/>
      <c r="I11" s="15"/>
      <c r="J11" s="16"/>
      <c r="M11" s="25">
        <v>100</v>
      </c>
      <c r="N11" s="26"/>
      <c r="O11" s="27" t="s">
        <v>9</v>
      </c>
      <c r="P11" s="28"/>
      <c r="Q11" s="29">
        <v>1.4999999999999999E-2</v>
      </c>
      <c r="R11" s="30"/>
      <c r="S11" s="31" t="s">
        <v>5</v>
      </c>
      <c r="T11" s="32"/>
      <c r="U11" s="15"/>
      <c r="V11" s="16"/>
      <c r="Y11" s="25">
        <v>100</v>
      </c>
      <c r="Z11" s="26"/>
      <c r="AA11" s="27" t="s">
        <v>9</v>
      </c>
      <c r="AB11" s="28"/>
      <c r="AC11" s="29">
        <v>8.72E-2</v>
      </c>
      <c r="AD11" s="30"/>
      <c r="AE11" s="31" t="s">
        <v>5</v>
      </c>
      <c r="AF11" s="32"/>
      <c r="AG11" s="15"/>
      <c r="AH11" s="16"/>
      <c r="AK11" s="3">
        <v>1000</v>
      </c>
      <c r="AL11" s="4"/>
      <c r="AM11" s="5" t="s">
        <v>9</v>
      </c>
      <c r="AN11" s="6"/>
      <c r="AO11" s="45">
        <v>0.156</v>
      </c>
      <c r="AP11" s="46"/>
      <c r="AQ11" s="9" t="s">
        <v>7</v>
      </c>
      <c r="AR11" s="10"/>
      <c r="AS11" s="11">
        <f t="shared" ref="AS11" si="2">AVERAGE(AO11:AP15)</f>
        <v>0.14198</v>
      </c>
      <c r="AT11" s="12"/>
      <c r="AU11" s="1">
        <v>1000</v>
      </c>
      <c r="AW11" s="25">
        <v>100</v>
      </c>
      <c r="AX11" s="26"/>
      <c r="AY11" s="27" t="s">
        <v>9</v>
      </c>
      <c r="AZ11" s="28"/>
      <c r="BA11" s="29">
        <v>3.1699999999999999E-2</v>
      </c>
      <c r="BB11" s="30"/>
      <c r="BC11" s="31" t="s">
        <v>5</v>
      </c>
      <c r="BD11" s="32"/>
      <c r="BE11" s="86"/>
      <c r="BF11" s="87"/>
      <c r="BG11" s="1"/>
    </row>
    <row r="12" spans="1:59" ht="15" thickTop="1" x14ac:dyDescent="0.3">
      <c r="A12" s="3">
        <v>1000</v>
      </c>
      <c r="B12" s="4"/>
      <c r="C12" s="43" t="s">
        <v>4</v>
      </c>
      <c r="D12" s="44"/>
      <c r="E12" s="7">
        <v>1</v>
      </c>
      <c r="F12" s="8"/>
      <c r="G12" s="9" t="s">
        <v>5</v>
      </c>
      <c r="H12" s="10"/>
      <c r="I12" s="11">
        <f t="shared" ref="I12" si="3">AVERAGE(E12:F16)</f>
        <v>1.0200000017999999</v>
      </c>
      <c r="J12" s="12"/>
      <c r="M12" s="3">
        <v>1000</v>
      </c>
      <c r="N12" s="4"/>
      <c r="O12" s="5" t="s">
        <v>9</v>
      </c>
      <c r="P12" s="6"/>
      <c r="Q12" s="7">
        <v>1.2378</v>
      </c>
      <c r="R12" s="8"/>
      <c r="S12" s="9" t="s">
        <v>5</v>
      </c>
      <c r="T12" s="10"/>
      <c r="U12" s="11">
        <f t="shared" ref="U12" si="4">AVERAGE(Q12:R16)</f>
        <v>1.2416</v>
      </c>
      <c r="V12" s="12"/>
      <c r="Y12" s="3">
        <v>1000</v>
      </c>
      <c r="Z12" s="4"/>
      <c r="AA12" s="5" t="s">
        <v>9</v>
      </c>
      <c r="AB12" s="6"/>
      <c r="AC12" s="7">
        <v>8.0419</v>
      </c>
      <c r="AD12" s="8"/>
      <c r="AE12" s="9" t="s">
        <v>5</v>
      </c>
      <c r="AF12" s="10"/>
      <c r="AG12" s="11">
        <f t="shared" ref="AG12" si="5">AVERAGE(AC12:AD16)</f>
        <v>8.3491800000000005</v>
      </c>
      <c r="AH12" s="12"/>
      <c r="AK12" s="17">
        <v>1000</v>
      </c>
      <c r="AL12" s="18"/>
      <c r="AM12" s="19" t="s">
        <v>9</v>
      </c>
      <c r="AN12" s="20"/>
      <c r="AO12" s="47">
        <v>0.14499999999999999</v>
      </c>
      <c r="AP12" s="48"/>
      <c r="AQ12" s="23" t="s">
        <v>7</v>
      </c>
      <c r="AR12" s="24"/>
      <c r="AS12" s="13"/>
      <c r="AT12" s="14"/>
      <c r="AU12" s="1"/>
      <c r="AW12" s="3">
        <v>1000</v>
      </c>
      <c r="AX12" s="4"/>
      <c r="AY12" s="5" t="s">
        <v>9</v>
      </c>
      <c r="AZ12" s="6"/>
      <c r="BA12" s="7">
        <v>3.0817999999999999</v>
      </c>
      <c r="BB12" s="8"/>
      <c r="BC12" s="9" t="s">
        <v>5</v>
      </c>
      <c r="BD12" s="10"/>
      <c r="BE12" s="82">
        <f t="shared" ref="BE12" si="6">AVERAGE(BA12:BB16)</f>
        <v>3.1178599999999999</v>
      </c>
      <c r="BF12" s="83"/>
      <c r="BG12" s="1">
        <v>1000</v>
      </c>
    </row>
    <row r="13" spans="1:59" x14ac:dyDescent="0.3">
      <c r="A13" s="17">
        <v>1000</v>
      </c>
      <c r="B13" s="18"/>
      <c r="C13" s="61" t="s">
        <v>4</v>
      </c>
      <c r="D13" s="62"/>
      <c r="E13" s="21">
        <v>1</v>
      </c>
      <c r="F13" s="22"/>
      <c r="G13" s="23" t="s">
        <v>5</v>
      </c>
      <c r="H13" s="24"/>
      <c r="I13" s="13"/>
      <c r="J13" s="14"/>
      <c r="M13" s="17">
        <v>1000</v>
      </c>
      <c r="N13" s="18"/>
      <c r="O13" s="19" t="s">
        <v>9</v>
      </c>
      <c r="P13" s="20"/>
      <c r="Q13" s="21">
        <v>1.2319</v>
      </c>
      <c r="R13" s="22"/>
      <c r="S13" s="23" t="s">
        <v>5</v>
      </c>
      <c r="T13" s="24"/>
      <c r="U13" s="13"/>
      <c r="V13" s="14"/>
      <c r="Y13" s="17">
        <v>1000</v>
      </c>
      <c r="Z13" s="18"/>
      <c r="AA13" s="19" t="s">
        <v>9</v>
      </c>
      <c r="AB13" s="20"/>
      <c r="AC13" s="21">
        <v>8.3656000000000006</v>
      </c>
      <c r="AD13" s="22"/>
      <c r="AE13" s="23" t="s">
        <v>5</v>
      </c>
      <c r="AF13" s="24"/>
      <c r="AG13" s="13"/>
      <c r="AH13" s="14"/>
      <c r="AK13" s="17">
        <v>1000</v>
      </c>
      <c r="AL13" s="18"/>
      <c r="AM13" s="19" t="s">
        <v>9</v>
      </c>
      <c r="AN13" s="20"/>
      <c r="AO13" s="47">
        <v>0.1396</v>
      </c>
      <c r="AP13" s="48"/>
      <c r="AQ13" s="23" t="s">
        <v>7</v>
      </c>
      <c r="AR13" s="24"/>
      <c r="AS13" s="13"/>
      <c r="AT13" s="14"/>
      <c r="AU13" s="1"/>
      <c r="AW13" s="17">
        <v>1000</v>
      </c>
      <c r="AX13" s="18"/>
      <c r="AY13" s="19" t="s">
        <v>9</v>
      </c>
      <c r="AZ13" s="20"/>
      <c r="BA13" s="21">
        <v>3.0306999999999999</v>
      </c>
      <c r="BB13" s="22"/>
      <c r="BC13" s="23" t="s">
        <v>5</v>
      </c>
      <c r="BD13" s="24"/>
      <c r="BE13" s="84"/>
      <c r="BF13" s="85"/>
      <c r="BG13" s="1"/>
    </row>
    <row r="14" spans="1:59" x14ac:dyDescent="0.3">
      <c r="A14" s="17">
        <v>1000</v>
      </c>
      <c r="B14" s="18"/>
      <c r="C14" s="61" t="s">
        <v>4</v>
      </c>
      <c r="D14" s="62"/>
      <c r="E14" s="21">
        <v>1.200000003</v>
      </c>
      <c r="F14" s="22"/>
      <c r="G14" s="23" t="s">
        <v>5</v>
      </c>
      <c r="H14" s="24"/>
      <c r="I14" s="13"/>
      <c r="J14" s="14"/>
      <c r="M14" s="17">
        <v>1000</v>
      </c>
      <c r="N14" s="18"/>
      <c r="O14" s="19" t="s">
        <v>9</v>
      </c>
      <c r="P14" s="20"/>
      <c r="Q14" s="21">
        <v>1.23</v>
      </c>
      <c r="R14" s="22"/>
      <c r="S14" s="23" t="s">
        <v>5</v>
      </c>
      <c r="T14" s="24"/>
      <c r="U14" s="13"/>
      <c r="V14" s="14"/>
      <c r="Y14" s="17">
        <v>1000</v>
      </c>
      <c r="Z14" s="18"/>
      <c r="AA14" s="19" t="s">
        <v>9</v>
      </c>
      <c r="AB14" s="20"/>
      <c r="AC14" s="21">
        <v>8.6418999999999997</v>
      </c>
      <c r="AD14" s="22"/>
      <c r="AE14" s="23" t="s">
        <v>5</v>
      </c>
      <c r="AF14" s="24"/>
      <c r="AG14" s="13"/>
      <c r="AH14" s="14"/>
      <c r="AK14" s="17">
        <v>1000</v>
      </c>
      <c r="AL14" s="18"/>
      <c r="AM14" s="19" t="s">
        <v>9</v>
      </c>
      <c r="AN14" s="20"/>
      <c r="AO14" s="47">
        <v>0.13500000000000001</v>
      </c>
      <c r="AP14" s="48"/>
      <c r="AQ14" s="23" t="s">
        <v>7</v>
      </c>
      <c r="AR14" s="24"/>
      <c r="AS14" s="13"/>
      <c r="AT14" s="14"/>
      <c r="AU14" s="1"/>
      <c r="AW14" s="17">
        <v>1000</v>
      </c>
      <c r="AX14" s="18"/>
      <c r="AY14" s="19" t="s">
        <v>9</v>
      </c>
      <c r="AZ14" s="20"/>
      <c r="BA14" s="21">
        <v>3.226</v>
      </c>
      <c r="BB14" s="22"/>
      <c r="BC14" s="23" t="s">
        <v>5</v>
      </c>
      <c r="BD14" s="24"/>
      <c r="BE14" s="84"/>
      <c r="BF14" s="85"/>
      <c r="BG14" s="1"/>
    </row>
    <row r="15" spans="1:59" ht="15" thickBot="1" x14ac:dyDescent="0.35">
      <c r="A15" s="17">
        <v>1000</v>
      </c>
      <c r="B15" s="18"/>
      <c r="C15" s="61" t="s">
        <v>4</v>
      </c>
      <c r="D15" s="62"/>
      <c r="E15" s="21">
        <v>1</v>
      </c>
      <c r="F15" s="22"/>
      <c r="G15" s="23" t="s">
        <v>5</v>
      </c>
      <c r="H15" s="24"/>
      <c r="I15" s="13"/>
      <c r="J15" s="14"/>
      <c r="M15" s="17">
        <v>1000</v>
      </c>
      <c r="N15" s="18"/>
      <c r="O15" s="19" t="s">
        <v>9</v>
      </c>
      <c r="P15" s="20"/>
      <c r="Q15" s="21">
        <v>1.2498</v>
      </c>
      <c r="R15" s="22"/>
      <c r="S15" s="23" t="s">
        <v>5</v>
      </c>
      <c r="T15" s="24"/>
      <c r="U15" s="13"/>
      <c r="V15" s="14"/>
      <c r="Y15" s="17">
        <v>1000</v>
      </c>
      <c r="Z15" s="18"/>
      <c r="AA15" s="19" t="s">
        <v>9</v>
      </c>
      <c r="AB15" s="20"/>
      <c r="AC15" s="21">
        <v>8.4367000000000001</v>
      </c>
      <c r="AD15" s="22"/>
      <c r="AE15" s="23" t="s">
        <v>5</v>
      </c>
      <c r="AF15" s="24"/>
      <c r="AG15" s="13"/>
      <c r="AH15" s="14"/>
      <c r="AK15" s="25">
        <v>1000</v>
      </c>
      <c r="AL15" s="26"/>
      <c r="AM15" s="27" t="s">
        <v>9</v>
      </c>
      <c r="AN15" s="28"/>
      <c r="AO15" s="49">
        <v>0.1343</v>
      </c>
      <c r="AP15" s="50"/>
      <c r="AQ15" s="31" t="s">
        <v>7</v>
      </c>
      <c r="AR15" s="32"/>
      <c r="AS15" s="15"/>
      <c r="AT15" s="16"/>
      <c r="AU15" s="1"/>
      <c r="AW15" s="17">
        <v>1000</v>
      </c>
      <c r="AX15" s="18"/>
      <c r="AY15" s="19" t="s">
        <v>9</v>
      </c>
      <c r="AZ15" s="20"/>
      <c r="BA15" s="21">
        <v>3.2707000000000002</v>
      </c>
      <c r="BB15" s="22"/>
      <c r="BC15" s="23" t="s">
        <v>5</v>
      </c>
      <c r="BD15" s="24"/>
      <c r="BE15" s="84"/>
      <c r="BF15" s="85"/>
      <c r="BG15" s="1"/>
    </row>
    <row r="16" spans="1:59" ht="15.6" thickTop="1" thickBot="1" x14ac:dyDescent="0.35">
      <c r="A16" s="25">
        <v>1000</v>
      </c>
      <c r="B16" s="26"/>
      <c r="C16" s="63" t="s">
        <v>4</v>
      </c>
      <c r="D16" s="64"/>
      <c r="E16" s="29">
        <v>0.90000000599999996</v>
      </c>
      <c r="F16" s="30"/>
      <c r="G16" s="31" t="s">
        <v>5</v>
      </c>
      <c r="H16" s="32"/>
      <c r="I16" s="15"/>
      <c r="J16" s="16"/>
      <c r="M16" s="25">
        <v>1000</v>
      </c>
      <c r="N16" s="26"/>
      <c r="O16" s="27" t="s">
        <v>9</v>
      </c>
      <c r="P16" s="28"/>
      <c r="Q16" s="29">
        <v>1.2585</v>
      </c>
      <c r="R16" s="30"/>
      <c r="S16" s="31" t="s">
        <v>5</v>
      </c>
      <c r="T16" s="32"/>
      <c r="U16" s="15"/>
      <c r="V16" s="16"/>
      <c r="Y16" s="25">
        <v>1000</v>
      </c>
      <c r="Z16" s="26"/>
      <c r="AA16" s="27" t="s">
        <v>9</v>
      </c>
      <c r="AB16" s="28"/>
      <c r="AC16" s="29">
        <v>8.2598000000000003</v>
      </c>
      <c r="AD16" s="30"/>
      <c r="AE16" s="31" t="s">
        <v>5</v>
      </c>
      <c r="AF16" s="32"/>
      <c r="AG16" s="15"/>
      <c r="AH16" s="16"/>
      <c r="AK16" s="3">
        <v>10000</v>
      </c>
      <c r="AL16" s="4"/>
      <c r="AM16" s="5" t="s">
        <v>9</v>
      </c>
      <c r="AN16" s="6"/>
      <c r="AO16" s="45">
        <v>2.3424</v>
      </c>
      <c r="AP16" s="46"/>
      <c r="AQ16" s="9" t="s">
        <v>7</v>
      </c>
      <c r="AR16" s="10"/>
      <c r="AS16" s="11">
        <f>AVERAGE(AO16:AP20)</f>
        <v>2.4767399999999999</v>
      </c>
      <c r="AT16" s="12"/>
      <c r="AU16" s="1">
        <v>10000</v>
      </c>
      <c r="AW16" s="25">
        <v>1000</v>
      </c>
      <c r="AX16" s="26"/>
      <c r="AY16" s="27" t="s">
        <v>9</v>
      </c>
      <c r="AZ16" s="28"/>
      <c r="BA16" s="29">
        <v>2.9801000000000002</v>
      </c>
      <c r="BB16" s="30"/>
      <c r="BC16" s="31" t="s">
        <v>5</v>
      </c>
      <c r="BD16" s="32"/>
      <c r="BE16" s="86"/>
      <c r="BF16" s="87"/>
      <c r="BG16" s="1"/>
    </row>
    <row r="17" spans="1:59" ht="15" thickTop="1" x14ac:dyDescent="0.3">
      <c r="A17" s="3">
        <v>10000</v>
      </c>
      <c r="B17" s="4"/>
      <c r="C17" s="43" t="s">
        <v>4</v>
      </c>
      <c r="D17" s="44"/>
      <c r="E17" s="7">
        <v>113.400000006</v>
      </c>
      <c r="F17" s="8"/>
      <c r="G17" s="9" t="s">
        <v>5</v>
      </c>
      <c r="H17" s="10"/>
      <c r="I17" s="11">
        <f t="shared" ref="I17" si="7">AVERAGE(E17:F21)</f>
        <v>86.940000006560012</v>
      </c>
      <c r="J17" s="12"/>
      <c r="M17" s="3">
        <v>10000</v>
      </c>
      <c r="N17" s="4"/>
      <c r="O17" s="5" t="s">
        <v>9</v>
      </c>
      <c r="P17" s="6"/>
      <c r="Q17" s="7">
        <v>181.92009999999999</v>
      </c>
      <c r="R17" s="8"/>
      <c r="S17" s="9" t="s">
        <v>5</v>
      </c>
      <c r="T17" s="10"/>
      <c r="U17" s="11">
        <f t="shared" ref="U17" si="8">AVERAGE(Q17:R21)</f>
        <v>172.90840000000003</v>
      </c>
      <c r="V17" s="12"/>
      <c r="Y17" s="3">
        <v>10000</v>
      </c>
      <c r="Z17" s="4"/>
      <c r="AA17" s="5" t="s">
        <v>9</v>
      </c>
      <c r="AB17" s="6"/>
      <c r="AC17" s="7">
        <v>1026.3544999999999</v>
      </c>
      <c r="AD17" s="8"/>
      <c r="AE17" s="9" t="s">
        <v>5</v>
      </c>
      <c r="AF17" s="10"/>
      <c r="AG17" s="11">
        <f t="shared" ref="AG17" si="9">AVERAGE(AC17:AD21)</f>
        <v>934.20799999999997</v>
      </c>
      <c r="AH17" s="12"/>
      <c r="AK17" s="17">
        <v>10000</v>
      </c>
      <c r="AL17" s="18"/>
      <c r="AM17" s="19" t="s">
        <v>9</v>
      </c>
      <c r="AN17" s="20"/>
      <c r="AO17" s="47">
        <v>2.379</v>
      </c>
      <c r="AP17" s="48"/>
      <c r="AQ17" s="23" t="s">
        <v>7</v>
      </c>
      <c r="AR17" s="24"/>
      <c r="AS17" s="13"/>
      <c r="AT17" s="14"/>
      <c r="AU17" s="1"/>
      <c r="AW17" s="3">
        <v>10000</v>
      </c>
      <c r="AX17" s="4"/>
      <c r="AY17" s="5" t="s">
        <v>9</v>
      </c>
      <c r="AZ17" s="6"/>
      <c r="BA17" s="7">
        <v>407.04109999999997</v>
      </c>
      <c r="BB17" s="8"/>
      <c r="BC17" s="9" t="s">
        <v>5</v>
      </c>
      <c r="BD17" s="10"/>
      <c r="BE17" s="82">
        <f t="shared" ref="BE17" si="10">AVERAGE(BA17:BB21)</f>
        <v>388.74</v>
      </c>
      <c r="BF17" s="83"/>
      <c r="BG17" s="1">
        <v>10000</v>
      </c>
    </row>
    <row r="18" spans="1:59" x14ac:dyDescent="0.3">
      <c r="A18" s="17">
        <v>10000</v>
      </c>
      <c r="B18" s="18"/>
      <c r="C18" s="61" t="s">
        <v>4</v>
      </c>
      <c r="D18" s="62"/>
      <c r="E18" s="21">
        <v>104.5</v>
      </c>
      <c r="F18" s="22"/>
      <c r="G18" s="23" t="s">
        <v>5</v>
      </c>
      <c r="H18" s="24"/>
      <c r="I18" s="13"/>
      <c r="J18" s="14"/>
      <c r="M18" s="17">
        <v>10000</v>
      </c>
      <c r="N18" s="18"/>
      <c r="O18" s="19" t="s">
        <v>9</v>
      </c>
      <c r="P18" s="20"/>
      <c r="Q18" s="21">
        <v>173.35570000000001</v>
      </c>
      <c r="R18" s="22"/>
      <c r="S18" s="23" t="s">
        <v>5</v>
      </c>
      <c r="T18" s="24"/>
      <c r="U18" s="13"/>
      <c r="V18" s="14"/>
      <c r="Y18" s="17">
        <v>10000</v>
      </c>
      <c r="Z18" s="18"/>
      <c r="AA18" s="19" t="s">
        <v>9</v>
      </c>
      <c r="AB18" s="20"/>
      <c r="AC18" s="21">
        <v>1023.5555000000001</v>
      </c>
      <c r="AD18" s="22"/>
      <c r="AE18" s="23" t="s">
        <v>5</v>
      </c>
      <c r="AF18" s="24"/>
      <c r="AG18" s="13"/>
      <c r="AH18" s="14"/>
      <c r="AK18" s="17">
        <v>10000</v>
      </c>
      <c r="AL18" s="18"/>
      <c r="AM18" s="19" t="s">
        <v>9</v>
      </c>
      <c r="AN18" s="20"/>
      <c r="AO18" s="47">
        <v>2.4291999999999998</v>
      </c>
      <c r="AP18" s="48"/>
      <c r="AQ18" s="23" t="s">
        <v>7</v>
      </c>
      <c r="AR18" s="24"/>
      <c r="AS18" s="13"/>
      <c r="AT18" s="14"/>
      <c r="AU18" s="1"/>
      <c r="AW18" s="17">
        <v>10000</v>
      </c>
      <c r="AX18" s="18"/>
      <c r="AY18" s="19" t="s">
        <v>9</v>
      </c>
      <c r="AZ18" s="20"/>
      <c r="BA18" s="21">
        <v>389.3725</v>
      </c>
      <c r="BB18" s="22"/>
      <c r="BC18" s="23" t="s">
        <v>5</v>
      </c>
      <c r="BD18" s="24"/>
      <c r="BE18" s="84"/>
      <c r="BF18" s="85"/>
      <c r="BG18" s="1"/>
    </row>
    <row r="19" spans="1:59" x14ac:dyDescent="0.3">
      <c r="A19" s="17">
        <v>10000</v>
      </c>
      <c r="B19" s="18"/>
      <c r="C19" s="61" t="s">
        <v>4</v>
      </c>
      <c r="D19" s="62"/>
      <c r="E19" s="21">
        <v>73.600000008899997</v>
      </c>
      <c r="F19" s="22"/>
      <c r="G19" s="23" t="s">
        <v>5</v>
      </c>
      <c r="H19" s="24"/>
      <c r="I19" s="13"/>
      <c r="J19" s="14"/>
      <c r="M19" s="17">
        <v>10000</v>
      </c>
      <c r="N19" s="18"/>
      <c r="O19" s="19" t="s">
        <v>9</v>
      </c>
      <c r="P19" s="20"/>
      <c r="Q19" s="21">
        <v>171.13300000000001</v>
      </c>
      <c r="R19" s="22"/>
      <c r="S19" s="23" t="s">
        <v>5</v>
      </c>
      <c r="T19" s="24"/>
      <c r="U19" s="13"/>
      <c r="V19" s="14"/>
      <c r="Y19" s="17">
        <v>10000</v>
      </c>
      <c r="Z19" s="18"/>
      <c r="AA19" s="19" t="s">
        <v>9</v>
      </c>
      <c r="AB19" s="20"/>
      <c r="AC19" s="21">
        <v>905.84659999999997</v>
      </c>
      <c r="AD19" s="22"/>
      <c r="AE19" s="23" t="s">
        <v>5</v>
      </c>
      <c r="AF19" s="24"/>
      <c r="AG19" s="13"/>
      <c r="AH19" s="14"/>
      <c r="AK19" s="17">
        <v>10000</v>
      </c>
      <c r="AL19" s="18"/>
      <c r="AM19" s="19" t="s">
        <v>9</v>
      </c>
      <c r="AN19" s="20"/>
      <c r="AO19" s="47">
        <v>2.6292</v>
      </c>
      <c r="AP19" s="48"/>
      <c r="AQ19" s="23" t="s">
        <v>7</v>
      </c>
      <c r="AR19" s="24"/>
      <c r="AS19" s="13"/>
      <c r="AT19" s="14"/>
      <c r="AU19" s="1"/>
      <c r="AW19" s="17">
        <v>10000</v>
      </c>
      <c r="AX19" s="18"/>
      <c r="AY19" s="19" t="s">
        <v>9</v>
      </c>
      <c r="AZ19" s="20"/>
      <c r="BA19" s="21">
        <v>401.7509</v>
      </c>
      <c r="BB19" s="22"/>
      <c r="BC19" s="23" t="s">
        <v>5</v>
      </c>
      <c r="BD19" s="24"/>
      <c r="BE19" s="84"/>
      <c r="BF19" s="85"/>
      <c r="BG19" s="1"/>
    </row>
    <row r="20" spans="1:59" ht="15" thickBot="1" x14ac:dyDescent="0.35">
      <c r="A20" s="17">
        <v>10000</v>
      </c>
      <c r="B20" s="18"/>
      <c r="C20" s="61" t="s">
        <v>4</v>
      </c>
      <c r="D20" s="62"/>
      <c r="E20" s="21">
        <v>69.800000011899996</v>
      </c>
      <c r="F20" s="22"/>
      <c r="G20" s="23" t="s">
        <v>5</v>
      </c>
      <c r="H20" s="24"/>
      <c r="I20" s="13"/>
      <c r="J20" s="14"/>
      <c r="M20" s="17">
        <v>10000</v>
      </c>
      <c r="N20" s="18"/>
      <c r="O20" s="19" t="s">
        <v>9</v>
      </c>
      <c r="P20" s="20"/>
      <c r="Q20" s="21">
        <v>173.2294</v>
      </c>
      <c r="R20" s="22"/>
      <c r="S20" s="23" t="s">
        <v>5</v>
      </c>
      <c r="T20" s="24"/>
      <c r="U20" s="13"/>
      <c r="V20" s="14"/>
      <c r="Y20" s="17">
        <v>10000</v>
      </c>
      <c r="Z20" s="18"/>
      <c r="AA20" s="19" t="s">
        <v>9</v>
      </c>
      <c r="AB20" s="20"/>
      <c r="AC20" s="21">
        <v>915.13580000000002</v>
      </c>
      <c r="AD20" s="22"/>
      <c r="AE20" s="23" t="s">
        <v>5</v>
      </c>
      <c r="AF20" s="24"/>
      <c r="AG20" s="13"/>
      <c r="AH20" s="14"/>
      <c r="AK20" s="25">
        <v>10000</v>
      </c>
      <c r="AL20" s="26"/>
      <c r="AM20" s="27" t="s">
        <v>9</v>
      </c>
      <c r="AN20" s="28"/>
      <c r="AO20" s="49">
        <v>2.6038999999999999</v>
      </c>
      <c r="AP20" s="50"/>
      <c r="AQ20" s="31" t="s">
        <v>7</v>
      </c>
      <c r="AR20" s="32"/>
      <c r="AS20" s="15"/>
      <c r="AT20" s="16"/>
      <c r="AU20" s="1"/>
      <c r="AW20" s="17">
        <v>10000</v>
      </c>
      <c r="AX20" s="18"/>
      <c r="AY20" s="19" t="s">
        <v>9</v>
      </c>
      <c r="AZ20" s="20"/>
      <c r="BA20" s="21">
        <v>376.32740000000001</v>
      </c>
      <c r="BB20" s="22"/>
      <c r="BC20" s="23" t="s">
        <v>5</v>
      </c>
      <c r="BD20" s="24"/>
      <c r="BE20" s="84"/>
      <c r="BF20" s="85"/>
      <c r="BG20" s="1"/>
    </row>
    <row r="21" spans="1:59" ht="15.6" thickTop="1" thickBot="1" x14ac:dyDescent="0.35">
      <c r="A21" s="65">
        <v>10000</v>
      </c>
      <c r="B21" s="66"/>
      <c r="C21" s="67" t="s">
        <v>4</v>
      </c>
      <c r="D21" s="68"/>
      <c r="E21" s="69">
        <v>73.400000005999999</v>
      </c>
      <c r="F21" s="70"/>
      <c r="G21" s="71" t="s">
        <v>5</v>
      </c>
      <c r="H21" s="72"/>
      <c r="I21" s="15"/>
      <c r="J21" s="16"/>
      <c r="M21" s="65">
        <v>10000</v>
      </c>
      <c r="N21" s="66"/>
      <c r="O21" s="76" t="s">
        <v>9</v>
      </c>
      <c r="P21" s="77"/>
      <c r="Q21" s="69">
        <v>164.90379999999999</v>
      </c>
      <c r="R21" s="70"/>
      <c r="S21" s="71" t="s">
        <v>5</v>
      </c>
      <c r="T21" s="72"/>
      <c r="U21" s="15"/>
      <c r="V21" s="16"/>
      <c r="Y21" s="65">
        <v>10000</v>
      </c>
      <c r="Z21" s="66"/>
      <c r="AA21" s="76" t="s">
        <v>9</v>
      </c>
      <c r="AB21" s="77"/>
      <c r="AC21" s="55">
        <v>800.14760000000001</v>
      </c>
      <c r="AD21" s="56"/>
      <c r="AE21" s="71" t="s">
        <v>5</v>
      </c>
      <c r="AF21" s="72"/>
      <c r="AG21" s="15"/>
      <c r="AH21" s="16"/>
      <c r="AK21" s="3">
        <v>100000</v>
      </c>
      <c r="AL21" s="4"/>
      <c r="AM21" s="5" t="s">
        <v>9</v>
      </c>
      <c r="AN21" s="6"/>
      <c r="AO21" s="45">
        <v>14.023300000000001</v>
      </c>
      <c r="AP21" s="46"/>
      <c r="AQ21" s="9" t="s">
        <v>7</v>
      </c>
      <c r="AR21" s="10"/>
      <c r="AS21" s="11">
        <f>AVERAGE(AO21:AP25)</f>
        <v>14.56936</v>
      </c>
      <c r="AT21" s="12"/>
      <c r="AU21" s="1">
        <v>100000</v>
      </c>
      <c r="AW21" s="25">
        <v>10000</v>
      </c>
      <c r="AX21" s="26"/>
      <c r="AY21" s="27" t="s">
        <v>9</v>
      </c>
      <c r="AZ21" s="28"/>
      <c r="BA21" s="29">
        <v>369.2081</v>
      </c>
      <c r="BB21" s="30"/>
      <c r="BC21" s="31" t="s">
        <v>5</v>
      </c>
      <c r="BD21" s="32"/>
      <c r="BE21" s="86"/>
      <c r="BF21" s="87"/>
      <c r="BG21" s="1"/>
    </row>
    <row r="22" spans="1:59" ht="15.6" thickTop="1" thickBot="1" x14ac:dyDescent="0.35">
      <c r="A22" s="51">
        <v>10</v>
      </c>
      <c r="B22" s="52"/>
      <c r="C22" s="73" t="s">
        <v>4</v>
      </c>
      <c r="D22" s="74"/>
      <c r="E22" s="59">
        <v>0</v>
      </c>
      <c r="F22" s="60"/>
      <c r="G22" s="53" t="s">
        <v>6</v>
      </c>
      <c r="H22" s="54"/>
      <c r="I22" s="11">
        <f t="shared" ref="I22" si="11">AVERAGE(E22:F26)</f>
        <v>0</v>
      </c>
      <c r="J22" s="12"/>
      <c r="M22" s="51">
        <v>10</v>
      </c>
      <c r="N22" s="52"/>
      <c r="O22" s="57" t="s">
        <v>9</v>
      </c>
      <c r="P22" s="58"/>
      <c r="Q22" s="21">
        <v>5.9999999999999995E-4</v>
      </c>
      <c r="R22" s="22"/>
      <c r="S22" s="53" t="s">
        <v>6</v>
      </c>
      <c r="T22" s="54"/>
      <c r="U22" s="11">
        <f t="shared" ref="U22" si="12">AVERAGE(Q22:R26)</f>
        <v>3.0000000000000003E-4</v>
      </c>
      <c r="V22" s="12"/>
      <c r="Y22" s="51">
        <v>10</v>
      </c>
      <c r="Z22" s="52"/>
      <c r="AA22" s="57" t="s">
        <v>9</v>
      </c>
      <c r="AB22" s="58"/>
      <c r="AC22" s="78">
        <v>1.1999999999999999E-3</v>
      </c>
      <c r="AD22" s="79"/>
      <c r="AE22" s="53" t="s">
        <v>6</v>
      </c>
      <c r="AF22" s="54"/>
      <c r="AG22" s="11">
        <f t="shared" ref="AG22" si="13">AVERAGE(AC22:AD26)</f>
        <v>1E-3</v>
      </c>
      <c r="AH22" s="12"/>
      <c r="AK22" s="3">
        <v>100000</v>
      </c>
      <c r="AL22" s="4"/>
      <c r="AM22" s="19" t="s">
        <v>9</v>
      </c>
      <c r="AN22" s="20"/>
      <c r="AO22" s="47">
        <v>13.2409</v>
      </c>
      <c r="AP22" s="48"/>
      <c r="AQ22" s="23" t="s">
        <v>7</v>
      </c>
      <c r="AR22" s="24"/>
      <c r="AS22" s="13"/>
      <c r="AT22" s="14"/>
      <c r="AU22" s="1"/>
      <c r="AW22" s="3">
        <v>100000</v>
      </c>
      <c r="AX22" s="4"/>
      <c r="AY22" s="5" t="s">
        <v>9</v>
      </c>
      <c r="AZ22" s="6"/>
      <c r="BA22" s="7">
        <v>41575.535199999998</v>
      </c>
      <c r="BB22" s="8"/>
      <c r="BC22" s="9" t="s">
        <v>5</v>
      </c>
      <c r="BD22" s="10"/>
      <c r="BE22" s="82">
        <f t="shared" ref="BE22" si="14">AVERAGE(BA22:BB26)</f>
        <v>41978.660799999998</v>
      </c>
      <c r="BF22" s="83"/>
      <c r="BG22" s="1">
        <v>100000</v>
      </c>
    </row>
    <row r="23" spans="1:59" ht="15.6" thickTop="1" thickBot="1" x14ac:dyDescent="0.35">
      <c r="A23" s="17">
        <v>10</v>
      </c>
      <c r="B23" s="18"/>
      <c r="C23" s="61" t="s">
        <v>4</v>
      </c>
      <c r="D23" s="62"/>
      <c r="E23" s="21">
        <v>0</v>
      </c>
      <c r="F23" s="22"/>
      <c r="G23" s="23" t="s">
        <v>6</v>
      </c>
      <c r="H23" s="24"/>
      <c r="I23" s="13"/>
      <c r="J23" s="14"/>
      <c r="M23" s="17">
        <v>10</v>
      </c>
      <c r="N23" s="18"/>
      <c r="O23" s="19" t="s">
        <v>9</v>
      </c>
      <c r="P23" s="20"/>
      <c r="Q23" s="21">
        <v>2.9999999999999997E-4</v>
      </c>
      <c r="R23" s="22"/>
      <c r="S23" s="23" t="s">
        <v>6</v>
      </c>
      <c r="T23" s="24"/>
      <c r="U23" s="13"/>
      <c r="V23" s="14"/>
      <c r="Y23" s="17">
        <v>10</v>
      </c>
      <c r="Z23" s="18"/>
      <c r="AA23" s="19" t="s">
        <v>9</v>
      </c>
      <c r="AB23" s="20"/>
      <c r="AC23" s="47">
        <v>1.1000000000000001E-3</v>
      </c>
      <c r="AD23" s="48"/>
      <c r="AE23" s="23" t="s">
        <v>6</v>
      </c>
      <c r="AF23" s="24"/>
      <c r="AG23" s="13"/>
      <c r="AH23" s="14"/>
      <c r="AK23" s="3">
        <v>100000</v>
      </c>
      <c r="AL23" s="4"/>
      <c r="AM23" s="19" t="s">
        <v>9</v>
      </c>
      <c r="AN23" s="20"/>
      <c r="AO23" s="47">
        <v>14.904400000000001</v>
      </c>
      <c r="AP23" s="48"/>
      <c r="AQ23" s="23" t="s">
        <v>7</v>
      </c>
      <c r="AR23" s="24"/>
      <c r="AS23" s="13"/>
      <c r="AT23" s="14"/>
      <c r="AU23" s="1"/>
      <c r="AW23" s="17">
        <v>100000</v>
      </c>
      <c r="AX23" s="18"/>
      <c r="AY23" s="19" t="s">
        <v>9</v>
      </c>
      <c r="AZ23" s="20"/>
      <c r="BA23" s="21">
        <v>47087.5072</v>
      </c>
      <c r="BB23" s="22"/>
      <c r="BC23" s="23" t="s">
        <v>5</v>
      </c>
      <c r="BD23" s="24"/>
      <c r="BE23" s="84"/>
      <c r="BF23" s="85"/>
      <c r="BG23" s="1"/>
    </row>
    <row r="24" spans="1:59" ht="15.6" thickTop="1" thickBot="1" x14ac:dyDescent="0.35">
      <c r="A24" s="17">
        <v>10</v>
      </c>
      <c r="B24" s="18"/>
      <c r="C24" s="61" t="s">
        <v>4</v>
      </c>
      <c r="D24" s="62"/>
      <c r="E24" s="21">
        <v>0</v>
      </c>
      <c r="F24" s="22"/>
      <c r="G24" s="23" t="s">
        <v>6</v>
      </c>
      <c r="H24" s="24"/>
      <c r="I24" s="13"/>
      <c r="J24" s="14"/>
      <c r="M24" s="17">
        <v>10</v>
      </c>
      <c r="N24" s="18"/>
      <c r="O24" s="19" t="s">
        <v>9</v>
      </c>
      <c r="P24" s="20"/>
      <c r="Q24" s="21">
        <v>2.0000000000000001E-4</v>
      </c>
      <c r="R24" s="22"/>
      <c r="S24" s="23" t="s">
        <v>6</v>
      </c>
      <c r="T24" s="24"/>
      <c r="U24" s="13"/>
      <c r="V24" s="14"/>
      <c r="Y24" s="17">
        <v>10</v>
      </c>
      <c r="Z24" s="18"/>
      <c r="AA24" s="19" t="s">
        <v>9</v>
      </c>
      <c r="AB24" s="20"/>
      <c r="AC24" s="47">
        <v>6.9999999999999999E-4</v>
      </c>
      <c r="AD24" s="48"/>
      <c r="AE24" s="23" t="s">
        <v>6</v>
      </c>
      <c r="AF24" s="24"/>
      <c r="AG24" s="13"/>
      <c r="AH24" s="14"/>
      <c r="AK24" s="3">
        <v>100000</v>
      </c>
      <c r="AL24" s="4"/>
      <c r="AM24" s="19" t="s">
        <v>9</v>
      </c>
      <c r="AN24" s="20"/>
      <c r="AO24" s="47">
        <v>16.235199999999999</v>
      </c>
      <c r="AP24" s="48"/>
      <c r="AQ24" s="23" t="s">
        <v>7</v>
      </c>
      <c r="AR24" s="24"/>
      <c r="AS24" s="13"/>
      <c r="AT24" s="14"/>
      <c r="AU24" s="1"/>
      <c r="AW24" s="17">
        <v>100000</v>
      </c>
      <c r="AX24" s="18"/>
      <c r="AY24" s="19" t="s">
        <v>9</v>
      </c>
      <c r="AZ24" s="20"/>
      <c r="BA24" s="21">
        <v>40151.524299999997</v>
      </c>
      <c r="BB24" s="22"/>
      <c r="BC24" s="23" t="s">
        <v>5</v>
      </c>
      <c r="BD24" s="24"/>
      <c r="BE24" s="84"/>
      <c r="BF24" s="85"/>
      <c r="BG24" s="1"/>
    </row>
    <row r="25" spans="1:59" ht="15.6" thickTop="1" thickBot="1" x14ac:dyDescent="0.35">
      <c r="A25" s="17">
        <v>10</v>
      </c>
      <c r="B25" s="18"/>
      <c r="C25" s="61" t="s">
        <v>4</v>
      </c>
      <c r="D25" s="62"/>
      <c r="E25" s="21">
        <v>0</v>
      </c>
      <c r="F25" s="22"/>
      <c r="G25" s="23" t="s">
        <v>6</v>
      </c>
      <c r="H25" s="24"/>
      <c r="I25" s="13"/>
      <c r="J25" s="14"/>
      <c r="M25" s="17">
        <v>10</v>
      </c>
      <c r="N25" s="18"/>
      <c r="O25" s="19" t="s">
        <v>9</v>
      </c>
      <c r="P25" s="20"/>
      <c r="Q25" s="21">
        <v>2.0000000000000001E-4</v>
      </c>
      <c r="R25" s="22"/>
      <c r="S25" s="23" t="s">
        <v>6</v>
      </c>
      <c r="T25" s="24"/>
      <c r="U25" s="13"/>
      <c r="V25" s="14"/>
      <c r="Y25" s="17">
        <v>10</v>
      </c>
      <c r="Z25" s="18"/>
      <c r="AA25" s="19" t="s">
        <v>9</v>
      </c>
      <c r="AB25" s="20"/>
      <c r="AC25" s="47">
        <v>1.1999999999999999E-3</v>
      </c>
      <c r="AD25" s="48"/>
      <c r="AE25" s="23" t="s">
        <v>6</v>
      </c>
      <c r="AF25" s="24"/>
      <c r="AG25" s="13"/>
      <c r="AH25" s="14"/>
      <c r="AK25" s="3">
        <v>100000</v>
      </c>
      <c r="AL25" s="4"/>
      <c r="AM25" s="27" t="s">
        <v>9</v>
      </c>
      <c r="AN25" s="28"/>
      <c r="AO25" s="49">
        <v>14.443</v>
      </c>
      <c r="AP25" s="50"/>
      <c r="AQ25" s="31" t="s">
        <v>7</v>
      </c>
      <c r="AR25" s="32"/>
      <c r="AS25" s="15"/>
      <c r="AT25" s="16"/>
      <c r="AU25" s="1"/>
      <c r="AW25" s="17">
        <v>100000</v>
      </c>
      <c r="AX25" s="18"/>
      <c r="AY25" s="19" t="s">
        <v>9</v>
      </c>
      <c r="AZ25" s="20"/>
      <c r="BA25" s="21">
        <v>40112.103499999997</v>
      </c>
      <c r="BB25" s="22"/>
      <c r="BC25" s="23" t="s">
        <v>5</v>
      </c>
      <c r="BD25" s="24"/>
      <c r="BE25" s="84"/>
      <c r="BF25" s="85"/>
      <c r="BG25" s="1"/>
    </row>
    <row r="26" spans="1:59" ht="15.6" thickTop="1" thickBot="1" x14ac:dyDescent="0.35">
      <c r="A26" s="25">
        <v>10</v>
      </c>
      <c r="B26" s="26"/>
      <c r="C26" s="63" t="s">
        <v>4</v>
      </c>
      <c r="D26" s="64"/>
      <c r="E26" s="29">
        <v>0</v>
      </c>
      <c r="F26" s="30"/>
      <c r="G26" s="31" t="s">
        <v>6</v>
      </c>
      <c r="H26" s="32"/>
      <c r="I26" s="15"/>
      <c r="J26" s="16"/>
      <c r="M26" s="25">
        <v>10</v>
      </c>
      <c r="N26" s="26"/>
      <c r="O26" s="27" t="s">
        <v>9</v>
      </c>
      <c r="P26" s="28"/>
      <c r="Q26" s="21">
        <v>2.0000000000000001E-4</v>
      </c>
      <c r="R26" s="22"/>
      <c r="S26" s="31" t="s">
        <v>6</v>
      </c>
      <c r="T26" s="32"/>
      <c r="U26" s="15"/>
      <c r="V26" s="16"/>
      <c r="Y26" s="25">
        <v>10</v>
      </c>
      <c r="Z26" s="26"/>
      <c r="AA26" s="27" t="s">
        <v>9</v>
      </c>
      <c r="AB26" s="28"/>
      <c r="AC26" s="49">
        <v>8.0000000000000004E-4</v>
      </c>
      <c r="AD26" s="50"/>
      <c r="AE26" s="31" t="s">
        <v>6</v>
      </c>
      <c r="AF26" s="32"/>
      <c r="AG26" s="15"/>
      <c r="AH26" s="16"/>
      <c r="AK26" s="3">
        <v>1000000</v>
      </c>
      <c r="AL26" s="4"/>
      <c r="AM26" s="5" t="s">
        <v>9</v>
      </c>
      <c r="AN26" s="6"/>
      <c r="AO26" s="45">
        <v>159.9307</v>
      </c>
      <c r="AP26" s="46"/>
      <c r="AQ26" s="9" t="s">
        <v>7</v>
      </c>
      <c r="AR26" s="10"/>
      <c r="AS26" s="11">
        <f>AVERAGE(AO26:AP30)</f>
        <v>148.66576000000001</v>
      </c>
      <c r="AT26" s="12"/>
      <c r="AU26" s="1">
        <v>1000000</v>
      </c>
      <c r="AW26" s="25">
        <v>100000</v>
      </c>
      <c r="AX26" s="26"/>
      <c r="AY26" s="27" t="s">
        <v>9</v>
      </c>
      <c r="AZ26" s="28"/>
      <c r="BA26" s="29">
        <v>40966.633800000003</v>
      </c>
      <c r="BB26" s="30"/>
      <c r="BC26" s="31" t="s">
        <v>5</v>
      </c>
      <c r="BD26" s="32"/>
      <c r="BE26" s="86"/>
      <c r="BF26" s="87"/>
      <c r="BG26" s="1"/>
    </row>
    <row r="27" spans="1:59" ht="15.6" thickTop="1" thickBot="1" x14ac:dyDescent="0.35">
      <c r="A27" s="51">
        <v>100</v>
      </c>
      <c r="B27" s="52"/>
      <c r="C27" s="73" t="s">
        <v>4</v>
      </c>
      <c r="D27" s="74"/>
      <c r="E27" s="7">
        <v>0.20000000300000001</v>
      </c>
      <c r="F27" s="8"/>
      <c r="G27" s="53" t="s">
        <v>6</v>
      </c>
      <c r="H27" s="54"/>
      <c r="I27" s="11">
        <f t="shared" ref="I27" si="15">AVERAGE(E27:F31)</f>
        <v>4.0000000600000002E-2</v>
      </c>
      <c r="J27" s="12"/>
      <c r="M27" s="51">
        <v>100</v>
      </c>
      <c r="N27" s="52"/>
      <c r="O27" s="5" t="s">
        <v>9</v>
      </c>
      <c r="P27" s="6"/>
      <c r="Q27" s="7">
        <v>1.72E-2</v>
      </c>
      <c r="R27" s="8"/>
      <c r="S27" s="53" t="s">
        <v>6</v>
      </c>
      <c r="T27" s="54"/>
      <c r="U27" s="11">
        <f t="shared" ref="U27" si="16">AVERAGE(Q27:R31)</f>
        <v>1.6220000000000002E-2</v>
      </c>
      <c r="V27" s="12"/>
      <c r="Y27" s="51">
        <v>100</v>
      </c>
      <c r="Z27" s="52"/>
      <c r="AA27" s="5" t="s">
        <v>9</v>
      </c>
      <c r="AB27" s="6"/>
      <c r="AC27" s="7">
        <v>6.6600000000000006E-2</v>
      </c>
      <c r="AD27" s="8"/>
      <c r="AE27" s="53" t="s">
        <v>6</v>
      </c>
      <c r="AF27" s="54"/>
      <c r="AG27" s="11">
        <f t="shared" ref="AG27" si="17">AVERAGE(AC27:AD31)</f>
        <v>9.5180000000000001E-2</v>
      </c>
      <c r="AH27" s="12"/>
      <c r="AK27" s="3">
        <v>1000000</v>
      </c>
      <c r="AL27" s="4"/>
      <c r="AM27" s="19" t="s">
        <v>9</v>
      </c>
      <c r="AN27" s="20"/>
      <c r="AO27" s="47">
        <v>144.43039999999999</v>
      </c>
      <c r="AP27" s="48"/>
      <c r="AQ27" s="23" t="s">
        <v>7</v>
      </c>
      <c r="AR27" s="24"/>
      <c r="AS27" s="13"/>
      <c r="AT27" s="14"/>
      <c r="AU27" s="1"/>
      <c r="BE27" s="88" t="s">
        <v>10</v>
      </c>
      <c r="BF27" s="88"/>
      <c r="BG27" t="s">
        <v>16</v>
      </c>
    </row>
    <row r="28" spans="1:59" ht="15.6" thickTop="1" thickBot="1" x14ac:dyDescent="0.35">
      <c r="A28" s="17">
        <v>100</v>
      </c>
      <c r="B28" s="18"/>
      <c r="C28" s="61" t="s">
        <v>4</v>
      </c>
      <c r="D28" s="62"/>
      <c r="E28" s="21">
        <v>0</v>
      </c>
      <c r="F28" s="22"/>
      <c r="G28" s="23" t="s">
        <v>6</v>
      </c>
      <c r="H28" s="24"/>
      <c r="I28" s="13"/>
      <c r="J28" s="14"/>
      <c r="M28" s="17">
        <v>100</v>
      </c>
      <c r="N28" s="18"/>
      <c r="O28" s="19" t="s">
        <v>9</v>
      </c>
      <c r="P28" s="20"/>
      <c r="Q28" s="21">
        <v>1.8200000000000001E-2</v>
      </c>
      <c r="R28" s="22"/>
      <c r="S28" s="23" t="s">
        <v>6</v>
      </c>
      <c r="T28" s="24"/>
      <c r="U28" s="13"/>
      <c r="V28" s="14"/>
      <c r="Y28" s="17">
        <v>100</v>
      </c>
      <c r="Z28" s="18"/>
      <c r="AA28" s="19" t="s">
        <v>9</v>
      </c>
      <c r="AB28" s="20"/>
      <c r="AC28" s="21">
        <v>7.4399999999999994E-2</v>
      </c>
      <c r="AD28" s="22"/>
      <c r="AE28" s="23" t="s">
        <v>6</v>
      </c>
      <c r="AF28" s="24"/>
      <c r="AG28" s="13"/>
      <c r="AH28" s="14"/>
      <c r="AK28" s="3">
        <v>1000000</v>
      </c>
      <c r="AL28" s="4"/>
      <c r="AM28" s="19" t="s">
        <v>9</v>
      </c>
      <c r="AN28" s="20"/>
      <c r="AO28" s="47">
        <v>148.78229999999999</v>
      </c>
      <c r="AP28" s="48"/>
      <c r="AQ28" s="23" t="s">
        <v>7</v>
      </c>
      <c r="AR28" s="24"/>
      <c r="AS28" s="13"/>
      <c r="AT28" s="14"/>
      <c r="AU28" s="1"/>
    </row>
    <row r="29" spans="1:59" ht="15.6" thickTop="1" thickBot="1" x14ac:dyDescent="0.35">
      <c r="A29" s="17">
        <v>100</v>
      </c>
      <c r="B29" s="18"/>
      <c r="C29" s="61" t="s">
        <v>4</v>
      </c>
      <c r="D29" s="62"/>
      <c r="E29" s="21">
        <v>0</v>
      </c>
      <c r="F29" s="22"/>
      <c r="G29" s="23" t="s">
        <v>6</v>
      </c>
      <c r="H29" s="24"/>
      <c r="I29" s="13"/>
      <c r="J29" s="14"/>
      <c r="M29" s="17">
        <v>100</v>
      </c>
      <c r="N29" s="18"/>
      <c r="O29" s="19" t="s">
        <v>9</v>
      </c>
      <c r="P29" s="20"/>
      <c r="Q29" s="21">
        <v>1.67E-2</v>
      </c>
      <c r="R29" s="22"/>
      <c r="S29" s="23" t="s">
        <v>6</v>
      </c>
      <c r="T29" s="24"/>
      <c r="U29" s="13"/>
      <c r="V29" s="14"/>
      <c r="Y29" s="17">
        <v>100</v>
      </c>
      <c r="Z29" s="18"/>
      <c r="AA29" s="19" t="s">
        <v>9</v>
      </c>
      <c r="AB29" s="20"/>
      <c r="AC29" s="21">
        <v>0.11210000000000001</v>
      </c>
      <c r="AD29" s="22"/>
      <c r="AE29" s="23" t="s">
        <v>6</v>
      </c>
      <c r="AF29" s="24"/>
      <c r="AG29" s="13"/>
      <c r="AH29" s="14"/>
      <c r="AK29" s="3">
        <v>1000000</v>
      </c>
      <c r="AL29" s="4"/>
      <c r="AM29" s="19" t="s">
        <v>9</v>
      </c>
      <c r="AN29" s="20"/>
      <c r="AO29" s="47">
        <v>146.08369999999999</v>
      </c>
      <c r="AP29" s="48"/>
      <c r="AQ29" s="23" t="s">
        <v>7</v>
      </c>
      <c r="AR29" s="24"/>
      <c r="AS29" s="13"/>
      <c r="AT29" s="14"/>
      <c r="AU29" s="1"/>
    </row>
    <row r="30" spans="1:59" ht="15.6" thickTop="1" thickBot="1" x14ac:dyDescent="0.35">
      <c r="A30" s="17">
        <v>100</v>
      </c>
      <c r="B30" s="18"/>
      <c r="C30" s="61" t="s">
        <v>4</v>
      </c>
      <c r="D30" s="62"/>
      <c r="E30" s="21">
        <v>0</v>
      </c>
      <c r="F30" s="22"/>
      <c r="G30" s="23" t="s">
        <v>6</v>
      </c>
      <c r="H30" s="24"/>
      <c r="I30" s="13"/>
      <c r="J30" s="14"/>
      <c r="M30" s="17">
        <v>100</v>
      </c>
      <c r="N30" s="18"/>
      <c r="O30" s="19" t="s">
        <v>9</v>
      </c>
      <c r="P30" s="20"/>
      <c r="Q30" s="21">
        <v>1.5299999999999999E-2</v>
      </c>
      <c r="R30" s="22"/>
      <c r="S30" s="23" t="s">
        <v>6</v>
      </c>
      <c r="T30" s="24"/>
      <c r="U30" s="13"/>
      <c r="V30" s="14"/>
      <c r="Y30" s="17">
        <v>100</v>
      </c>
      <c r="Z30" s="18"/>
      <c r="AA30" s="19" t="s">
        <v>9</v>
      </c>
      <c r="AB30" s="20"/>
      <c r="AC30" s="21">
        <v>6.4600000000000005E-2</v>
      </c>
      <c r="AD30" s="22"/>
      <c r="AE30" s="23" t="s">
        <v>6</v>
      </c>
      <c r="AF30" s="24"/>
      <c r="AG30" s="13"/>
      <c r="AH30" s="14"/>
      <c r="AK30" s="3">
        <v>1000000</v>
      </c>
      <c r="AL30" s="4"/>
      <c r="AM30" s="27" t="s">
        <v>9</v>
      </c>
      <c r="AN30" s="28"/>
      <c r="AO30" s="49">
        <v>144.10169999999999</v>
      </c>
      <c r="AP30" s="50"/>
      <c r="AQ30" s="31" t="s">
        <v>7</v>
      </c>
      <c r="AR30" s="32"/>
      <c r="AS30" s="15"/>
      <c r="AT30" s="16"/>
      <c r="AU30" s="1"/>
    </row>
    <row r="31" spans="1:59" ht="15.6" thickTop="1" thickBot="1" x14ac:dyDescent="0.35">
      <c r="A31" s="25">
        <v>100</v>
      </c>
      <c r="B31" s="26"/>
      <c r="C31" s="63" t="s">
        <v>4</v>
      </c>
      <c r="D31" s="64"/>
      <c r="E31" s="29">
        <v>0</v>
      </c>
      <c r="F31" s="30"/>
      <c r="G31" s="31" t="s">
        <v>6</v>
      </c>
      <c r="H31" s="32"/>
      <c r="I31" s="15"/>
      <c r="J31" s="16"/>
      <c r="M31" s="25">
        <v>100</v>
      </c>
      <c r="N31" s="26"/>
      <c r="O31" s="27" t="s">
        <v>9</v>
      </c>
      <c r="P31" s="28"/>
      <c r="Q31" s="29">
        <v>1.37E-2</v>
      </c>
      <c r="R31" s="30"/>
      <c r="S31" s="31" t="s">
        <v>6</v>
      </c>
      <c r="T31" s="32"/>
      <c r="U31" s="15"/>
      <c r="V31" s="16"/>
      <c r="Y31" s="25">
        <v>100</v>
      </c>
      <c r="Z31" s="26"/>
      <c r="AA31" s="27" t="s">
        <v>9</v>
      </c>
      <c r="AB31" s="28"/>
      <c r="AC31" s="29">
        <v>0.15820000000000001</v>
      </c>
      <c r="AD31" s="30"/>
      <c r="AE31" s="31" t="s">
        <v>6</v>
      </c>
      <c r="AF31" s="32"/>
      <c r="AG31" s="15"/>
      <c r="AH31" s="16"/>
      <c r="AK31" s="3">
        <v>10000000</v>
      </c>
      <c r="AL31" s="4"/>
      <c r="AM31" s="5" t="s">
        <v>9</v>
      </c>
      <c r="AN31" s="6"/>
      <c r="AO31" s="45">
        <v>1534.8959</v>
      </c>
      <c r="AP31" s="46"/>
      <c r="AQ31" s="9" t="s">
        <v>7</v>
      </c>
      <c r="AR31" s="10"/>
      <c r="AS31" s="11">
        <f>AVERAGE(AO31:AP35)</f>
        <v>1549.6375200000002</v>
      </c>
      <c r="AT31" s="12"/>
      <c r="AU31" s="1">
        <v>10000000</v>
      </c>
    </row>
    <row r="32" spans="1:59" ht="15.6" thickTop="1" thickBot="1" x14ac:dyDescent="0.35">
      <c r="A32" s="3">
        <v>1000</v>
      </c>
      <c r="B32" s="4"/>
      <c r="C32" s="43" t="s">
        <v>4</v>
      </c>
      <c r="D32" s="44"/>
      <c r="E32" s="7">
        <v>1.299999997</v>
      </c>
      <c r="F32" s="8"/>
      <c r="G32" s="9" t="s">
        <v>6</v>
      </c>
      <c r="H32" s="10"/>
      <c r="I32" s="11">
        <f t="shared" ref="I32" si="18">AVERAGE(E32:F36)</f>
        <v>1.1599999993800001</v>
      </c>
      <c r="J32" s="12"/>
      <c r="M32" s="3">
        <v>1000</v>
      </c>
      <c r="N32" s="4"/>
      <c r="O32" s="5" t="s">
        <v>9</v>
      </c>
      <c r="P32" s="6"/>
      <c r="Q32" s="7">
        <v>1.3202</v>
      </c>
      <c r="R32" s="8"/>
      <c r="S32" s="9" t="s">
        <v>6</v>
      </c>
      <c r="T32" s="10"/>
      <c r="U32" s="11">
        <f t="shared" ref="U32" si="19">AVERAGE(Q32:R36)</f>
        <v>1.3034400000000002</v>
      </c>
      <c r="V32" s="12"/>
      <c r="Y32" s="3">
        <v>1000</v>
      </c>
      <c r="Z32" s="4"/>
      <c r="AA32" s="5" t="s">
        <v>9</v>
      </c>
      <c r="AB32" s="6"/>
      <c r="AC32" s="7">
        <v>6.0288000000000004</v>
      </c>
      <c r="AD32" s="8"/>
      <c r="AE32" s="9" t="s">
        <v>6</v>
      </c>
      <c r="AF32" s="10"/>
      <c r="AG32" s="11">
        <f t="shared" ref="AG32" si="20">AVERAGE(AC32:AD36)</f>
        <v>6.0078250000000004</v>
      </c>
      <c r="AH32" s="12"/>
      <c r="AK32" s="3">
        <v>10000000</v>
      </c>
      <c r="AL32" s="4"/>
      <c r="AM32" s="19" t="s">
        <v>9</v>
      </c>
      <c r="AN32" s="20"/>
      <c r="AO32" s="47">
        <v>1533.9675</v>
      </c>
      <c r="AP32" s="48"/>
      <c r="AQ32" s="23" t="s">
        <v>7</v>
      </c>
      <c r="AR32" s="24"/>
      <c r="AS32" s="13"/>
      <c r="AT32" s="14"/>
      <c r="AU32" s="1"/>
    </row>
    <row r="33" spans="1:47" ht="15.6" thickTop="1" thickBot="1" x14ac:dyDescent="0.35">
      <c r="A33" s="17">
        <v>1000</v>
      </c>
      <c r="B33" s="18"/>
      <c r="C33" s="61" t="s">
        <v>4</v>
      </c>
      <c r="D33" s="62"/>
      <c r="E33" s="21">
        <v>1.099999994</v>
      </c>
      <c r="F33" s="22"/>
      <c r="G33" s="23" t="s">
        <v>6</v>
      </c>
      <c r="H33" s="24"/>
      <c r="I33" s="13"/>
      <c r="J33" s="14"/>
      <c r="M33" s="17">
        <v>1000</v>
      </c>
      <c r="N33" s="18"/>
      <c r="O33" s="19" t="s">
        <v>9</v>
      </c>
      <c r="P33" s="20"/>
      <c r="Q33" s="21">
        <v>1.2943</v>
      </c>
      <c r="R33" s="22"/>
      <c r="S33" s="23" t="s">
        <v>6</v>
      </c>
      <c r="T33" s="24"/>
      <c r="U33" s="13"/>
      <c r="V33" s="14"/>
      <c r="Y33" s="17">
        <v>1000</v>
      </c>
      <c r="Z33" s="18"/>
      <c r="AA33" s="19" t="s">
        <v>9</v>
      </c>
      <c r="AB33" s="20"/>
      <c r="AC33" s="21" t="s">
        <v>14</v>
      </c>
      <c r="AD33" s="22"/>
      <c r="AE33" s="23" t="s">
        <v>6</v>
      </c>
      <c r="AF33" s="24"/>
      <c r="AG33" s="13"/>
      <c r="AH33" s="14"/>
      <c r="AK33" s="3">
        <v>10000000</v>
      </c>
      <c r="AL33" s="4"/>
      <c r="AM33" s="19" t="s">
        <v>9</v>
      </c>
      <c r="AN33" s="20"/>
      <c r="AO33" s="47">
        <v>1530.4636</v>
      </c>
      <c r="AP33" s="48"/>
      <c r="AQ33" s="23" t="s">
        <v>7</v>
      </c>
      <c r="AR33" s="24"/>
      <c r="AS33" s="13"/>
      <c r="AT33" s="14"/>
      <c r="AU33" s="1"/>
    </row>
    <row r="34" spans="1:47" ht="15.6" thickTop="1" thickBot="1" x14ac:dyDescent="0.35">
      <c r="A34" s="17">
        <v>1000</v>
      </c>
      <c r="B34" s="18"/>
      <c r="C34" s="61" t="s">
        <v>4</v>
      </c>
      <c r="D34" s="62"/>
      <c r="E34" s="21">
        <v>1.1000000088999999</v>
      </c>
      <c r="F34" s="22"/>
      <c r="G34" s="23" t="s">
        <v>6</v>
      </c>
      <c r="H34" s="24"/>
      <c r="I34" s="13"/>
      <c r="J34" s="14"/>
      <c r="M34" s="17">
        <v>1000</v>
      </c>
      <c r="N34" s="18"/>
      <c r="O34" s="19" t="s">
        <v>9</v>
      </c>
      <c r="P34" s="20"/>
      <c r="Q34" s="21">
        <v>1.2870999999999999</v>
      </c>
      <c r="R34" s="22"/>
      <c r="S34" s="23" t="s">
        <v>6</v>
      </c>
      <c r="T34" s="24"/>
      <c r="U34" s="13"/>
      <c r="V34" s="14"/>
      <c r="Y34" s="17">
        <v>1000</v>
      </c>
      <c r="Z34" s="18"/>
      <c r="AA34" s="19" t="s">
        <v>9</v>
      </c>
      <c r="AB34" s="20"/>
      <c r="AC34" s="21">
        <v>5.8875999999999999</v>
      </c>
      <c r="AD34" s="22"/>
      <c r="AE34" s="23" t="s">
        <v>6</v>
      </c>
      <c r="AF34" s="24"/>
      <c r="AG34" s="13"/>
      <c r="AH34" s="14"/>
      <c r="AK34" s="3">
        <v>10000000</v>
      </c>
      <c r="AL34" s="4"/>
      <c r="AM34" s="19" t="s">
        <v>9</v>
      </c>
      <c r="AN34" s="20"/>
      <c r="AO34" s="47">
        <v>1565.6152999999999</v>
      </c>
      <c r="AP34" s="48"/>
      <c r="AQ34" s="23" t="s">
        <v>7</v>
      </c>
      <c r="AR34" s="24"/>
      <c r="AS34" s="13"/>
      <c r="AT34" s="14"/>
      <c r="AU34" s="1"/>
    </row>
    <row r="35" spans="1:47" ht="15.6" thickTop="1" thickBot="1" x14ac:dyDescent="0.35">
      <c r="A35" s="17">
        <v>1000</v>
      </c>
      <c r="B35" s="18"/>
      <c r="C35" s="61" t="s">
        <v>4</v>
      </c>
      <c r="D35" s="62"/>
      <c r="E35" s="21">
        <v>1</v>
      </c>
      <c r="F35" s="22"/>
      <c r="G35" s="23" t="s">
        <v>6</v>
      </c>
      <c r="H35" s="24"/>
      <c r="I35" s="13"/>
      <c r="J35" s="14"/>
      <c r="M35" s="17">
        <v>1000</v>
      </c>
      <c r="N35" s="18"/>
      <c r="O35" s="19" t="s">
        <v>9</v>
      </c>
      <c r="P35" s="20"/>
      <c r="Q35" s="21">
        <v>1.2891999999999999</v>
      </c>
      <c r="R35" s="22"/>
      <c r="S35" s="23" t="s">
        <v>6</v>
      </c>
      <c r="T35" s="24"/>
      <c r="U35" s="13"/>
      <c r="V35" s="14"/>
      <c r="Y35" s="17">
        <v>1000</v>
      </c>
      <c r="Z35" s="18"/>
      <c r="AA35" s="19" t="s">
        <v>9</v>
      </c>
      <c r="AB35" s="20"/>
      <c r="AC35" s="21">
        <v>6.2404999999999999</v>
      </c>
      <c r="AD35" s="22"/>
      <c r="AE35" s="23" t="s">
        <v>6</v>
      </c>
      <c r="AF35" s="24"/>
      <c r="AG35" s="13"/>
      <c r="AH35" s="14"/>
      <c r="AK35" s="3">
        <v>10000000</v>
      </c>
      <c r="AL35" s="4"/>
      <c r="AM35" s="27" t="s">
        <v>9</v>
      </c>
      <c r="AN35" s="28"/>
      <c r="AO35" s="49">
        <v>1583.2453</v>
      </c>
      <c r="AP35" s="50"/>
      <c r="AQ35" s="31" t="s">
        <v>7</v>
      </c>
      <c r="AR35" s="32"/>
      <c r="AS35" s="15"/>
      <c r="AT35" s="16"/>
      <c r="AU35" s="1"/>
    </row>
    <row r="36" spans="1:47" ht="15.6" thickTop="1" thickBot="1" x14ac:dyDescent="0.35">
      <c r="A36" s="25">
        <v>1000</v>
      </c>
      <c r="B36" s="26"/>
      <c r="C36" s="63" t="s">
        <v>4</v>
      </c>
      <c r="D36" s="64"/>
      <c r="E36" s="29">
        <v>1.299999997</v>
      </c>
      <c r="F36" s="30"/>
      <c r="G36" s="31" t="s">
        <v>6</v>
      </c>
      <c r="H36" s="32"/>
      <c r="I36" s="15"/>
      <c r="J36" s="16"/>
      <c r="M36" s="25">
        <v>1000</v>
      </c>
      <c r="N36" s="26"/>
      <c r="O36" s="27" t="s">
        <v>9</v>
      </c>
      <c r="P36" s="28"/>
      <c r="Q36" s="29">
        <v>1.3264</v>
      </c>
      <c r="R36" s="30"/>
      <c r="S36" s="31" t="s">
        <v>6</v>
      </c>
      <c r="T36" s="32"/>
      <c r="U36" s="15"/>
      <c r="V36" s="16"/>
      <c r="Y36" s="25">
        <v>1000</v>
      </c>
      <c r="Z36" s="26"/>
      <c r="AA36" s="27" t="s">
        <v>9</v>
      </c>
      <c r="AB36" s="28"/>
      <c r="AC36" s="55">
        <v>5.8743999999999996</v>
      </c>
      <c r="AD36" s="56"/>
      <c r="AE36" s="31" t="s">
        <v>6</v>
      </c>
      <c r="AF36" s="32"/>
      <c r="AG36" s="15"/>
      <c r="AH36" s="16"/>
      <c r="AS36" s="2" t="s">
        <v>15</v>
      </c>
      <c r="AT36" s="2"/>
      <c r="AU36" t="s">
        <v>16</v>
      </c>
    </row>
    <row r="37" spans="1:47" ht="15" thickTop="1" x14ac:dyDescent="0.3">
      <c r="A37" s="3">
        <v>10000</v>
      </c>
      <c r="B37" s="4"/>
      <c r="C37" s="43" t="s">
        <v>4</v>
      </c>
      <c r="D37" s="44"/>
      <c r="E37" s="7">
        <v>62.700000003</v>
      </c>
      <c r="F37" s="8"/>
      <c r="G37" s="9" t="s">
        <v>6</v>
      </c>
      <c r="H37" s="10"/>
      <c r="I37" s="11">
        <f t="shared" ref="I37" si="21">AVERAGE(E37:F41)</f>
        <v>61.280000001179999</v>
      </c>
      <c r="J37" s="12"/>
      <c r="M37" s="3">
        <v>10000</v>
      </c>
      <c r="N37" s="4"/>
      <c r="O37" s="5" t="s">
        <v>9</v>
      </c>
      <c r="P37" s="6"/>
      <c r="Q37" s="7">
        <v>164.97149999999999</v>
      </c>
      <c r="R37" s="8"/>
      <c r="S37" s="9" t="s">
        <v>6</v>
      </c>
      <c r="T37" s="10"/>
      <c r="U37" s="11">
        <f t="shared" ref="U37" si="22">AVERAGE(Q37:R41)</f>
        <v>159.46881999999999</v>
      </c>
      <c r="V37" s="12"/>
      <c r="Y37" s="3">
        <v>10000</v>
      </c>
      <c r="Z37" s="4"/>
      <c r="AA37" s="5" t="s">
        <v>9</v>
      </c>
      <c r="AB37" s="6"/>
      <c r="AC37" s="45">
        <v>718.87699999999995</v>
      </c>
      <c r="AD37" s="46"/>
      <c r="AE37" s="9" t="s">
        <v>6</v>
      </c>
      <c r="AF37" s="10"/>
      <c r="AG37" s="11">
        <f t="shared" ref="AG37" si="23">AVERAGE(AC37:AD41)</f>
        <v>725.36712000000011</v>
      </c>
      <c r="AH37" s="12"/>
    </row>
    <row r="38" spans="1:47" x14ac:dyDescent="0.3">
      <c r="A38" s="17">
        <v>10000</v>
      </c>
      <c r="B38" s="18"/>
      <c r="C38" s="61" t="s">
        <v>4</v>
      </c>
      <c r="D38" s="62"/>
      <c r="E38" s="21">
        <v>64</v>
      </c>
      <c r="F38" s="22"/>
      <c r="G38" s="23" t="s">
        <v>6</v>
      </c>
      <c r="H38" s="24"/>
      <c r="I38" s="13"/>
      <c r="J38" s="14"/>
      <c r="M38" s="17">
        <v>10000</v>
      </c>
      <c r="N38" s="18"/>
      <c r="O38" s="19" t="s">
        <v>9</v>
      </c>
      <c r="P38" s="20"/>
      <c r="Q38" s="21">
        <v>157.29509999999999</v>
      </c>
      <c r="R38" s="22"/>
      <c r="S38" s="23" t="s">
        <v>6</v>
      </c>
      <c r="T38" s="24"/>
      <c r="U38" s="13"/>
      <c r="V38" s="14"/>
      <c r="Y38" s="17">
        <v>10000</v>
      </c>
      <c r="Z38" s="18"/>
      <c r="AA38" s="19" t="s">
        <v>9</v>
      </c>
      <c r="AB38" s="20"/>
      <c r="AC38" s="47">
        <v>745.33680000000004</v>
      </c>
      <c r="AD38" s="48"/>
      <c r="AE38" s="23" t="s">
        <v>6</v>
      </c>
      <c r="AF38" s="24"/>
      <c r="AG38" s="13"/>
      <c r="AH38" s="14"/>
    </row>
    <row r="39" spans="1:47" x14ac:dyDescent="0.3">
      <c r="A39" s="17">
        <v>10000</v>
      </c>
      <c r="B39" s="18"/>
      <c r="C39" s="61" t="s">
        <v>4</v>
      </c>
      <c r="D39" s="62"/>
      <c r="E39" s="21">
        <v>62.100000008899997</v>
      </c>
      <c r="F39" s="22"/>
      <c r="G39" s="23" t="s">
        <v>6</v>
      </c>
      <c r="H39" s="24"/>
      <c r="I39" s="13"/>
      <c r="J39" s="14"/>
      <c r="M39" s="17">
        <v>10000</v>
      </c>
      <c r="N39" s="18"/>
      <c r="O39" s="19" t="s">
        <v>9</v>
      </c>
      <c r="P39" s="20"/>
      <c r="Q39" s="21">
        <v>160.19390000000001</v>
      </c>
      <c r="R39" s="22"/>
      <c r="S39" s="23" t="s">
        <v>6</v>
      </c>
      <c r="T39" s="24"/>
      <c r="U39" s="13"/>
      <c r="V39" s="14"/>
      <c r="Y39" s="17">
        <v>10000</v>
      </c>
      <c r="Z39" s="18"/>
      <c r="AA39" s="19" t="s">
        <v>9</v>
      </c>
      <c r="AB39" s="20"/>
      <c r="AC39" s="47">
        <v>704.24440000000004</v>
      </c>
      <c r="AD39" s="48"/>
      <c r="AE39" s="23" t="s">
        <v>6</v>
      </c>
      <c r="AF39" s="24"/>
      <c r="AG39" s="13"/>
      <c r="AH39" s="14"/>
    </row>
    <row r="40" spans="1:47" x14ac:dyDescent="0.3">
      <c r="A40" s="17">
        <v>10000</v>
      </c>
      <c r="B40" s="18"/>
      <c r="C40" s="61" t="s">
        <v>4</v>
      </c>
      <c r="D40" s="62"/>
      <c r="E40" s="21">
        <v>58.299999997</v>
      </c>
      <c r="F40" s="22"/>
      <c r="G40" s="23" t="s">
        <v>6</v>
      </c>
      <c r="H40" s="24"/>
      <c r="I40" s="13"/>
      <c r="J40" s="14"/>
      <c r="M40" s="17">
        <v>10000</v>
      </c>
      <c r="N40" s="18"/>
      <c r="O40" s="19" t="s">
        <v>9</v>
      </c>
      <c r="P40" s="20"/>
      <c r="Q40" s="21">
        <v>160.04859999999999</v>
      </c>
      <c r="R40" s="22"/>
      <c r="S40" s="23" t="s">
        <v>6</v>
      </c>
      <c r="T40" s="24"/>
      <c r="U40" s="13"/>
      <c r="V40" s="14"/>
      <c r="Y40" s="17">
        <v>10000</v>
      </c>
      <c r="Z40" s="18"/>
      <c r="AA40" s="19" t="s">
        <v>9</v>
      </c>
      <c r="AB40" s="20"/>
      <c r="AC40" s="47">
        <v>702.81140000000005</v>
      </c>
      <c r="AD40" s="48"/>
      <c r="AE40" s="23" t="s">
        <v>6</v>
      </c>
      <c r="AF40" s="24"/>
      <c r="AG40" s="13"/>
      <c r="AH40" s="14"/>
    </row>
    <row r="41" spans="1:47" ht="15" thickBot="1" x14ac:dyDescent="0.35">
      <c r="A41" s="65">
        <v>10000</v>
      </c>
      <c r="B41" s="66"/>
      <c r="C41" s="67" t="s">
        <v>4</v>
      </c>
      <c r="D41" s="68"/>
      <c r="E41" s="69">
        <v>59.299999997</v>
      </c>
      <c r="F41" s="70"/>
      <c r="G41" s="71" t="s">
        <v>6</v>
      </c>
      <c r="H41" s="72"/>
      <c r="I41" s="15"/>
      <c r="J41" s="16"/>
      <c r="M41" s="65">
        <v>10000</v>
      </c>
      <c r="N41" s="66"/>
      <c r="O41" s="76" t="s">
        <v>9</v>
      </c>
      <c r="P41" s="77"/>
      <c r="Q41" s="69">
        <v>154.83500000000001</v>
      </c>
      <c r="R41" s="70"/>
      <c r="S41" s="71" t="s">
        <v>6</v>
      </c>
      <c r="T41" s="72"/>
      <c r="U41" s="15"/>
      <c r="V41" s="16"/>
      <c r="Y41" s="65">
        <v>10000</v>
      </c>
      <c r="Z41" s="66"/>
      <c r="AA41" s="76" t="s">
        <v>9</v>
      </c>
      <c r="AB41" s="77"/>
      <c r="AC41" s="80">
        <v>755.56600000000003</v>
      </c>
      <c r="AD41" s="70"/>
      <c r="AE41" s="71" t="s">
        <v>6</v>
      </c>
      <c r="AF41" s="72"/>
      <c r="AG41" s="15"/>
      <c r="AH41" s="16"/>
    </row>
    <row r="42" spans="1:47" ht="15" thickTop="1" x14ac:dyDescent="0.3">
      <c r="A42" s="51">
        <v>10</v>
      </c>
      <c r="B42" s="52"/>
      <c r="C42" s="73" t="s">
        <v>4</v>
      </c>
      <c r="D42" s="74"/>
      <c r="E42" s="59">
        <v>9.9999993999999995E-2</v>
      </c>
      <c r="F42" s="60"/>
      <c r="G42" s="53" t="s">
        <v>7</v>
      </c>
      <c r="H42" s="54"/>
      <c r="I42" s="11">
        <f t="shared" ref="I42" si="24">AVERAGE(E42:F46)</f>
        <v>1.9999998799999998E-2</v>
      </c>
      <c r="J42" s="12"/>
      <c r="M42" s="51">
        <v>10</v>
      </c>
      <c r="N42" s="52"/>
      <c r="O42" s="57" t="s">
        <v>9</v>
      </c>
      <c r="P42" s="58"/>
      <c r="Q42" s="59">
        <v>8.4099999999999994E-2</v>
      </c>
      <c r="R42" s="60"/>
      <c r="S42" s="53" t="s">
        <v>7</v>
      </c>
      <c r="T42" s="54"/>
      <c r="U42" s="11">
        <f t="shared" ref="U42" si="25">AVERAGE(Q42:R46)</f>
        <v>1.694E-2</v>
      </c>
      <c r="V42" s="12"/>
      <c r="Y42" s="51">
        <v>10</v>
      </c>
      <c r="Z42" s="52"/>
      <c r="AA42" s="57" t="s">
        <v>9</v>
      </c>
      <c r="AB42" s="58"/>
      <c r="AC42" s="59"/>
      <c r="AD42" s="60"/>
      <c r="AE42" s="53" t="s">
        <v>7</v>
      </c>
      <c r="AF42" s="54"/>
      <c r="AG42" s="11">
        <f t="shared" ref="AG42" si="26">AVERAGE(AC42:AD46)</f>
        <v>1.1249999999999999E-3</v>
      </c>
      <c r="AH42" s="12"/>
    </row>
    <row r="43" spans="1:47" x14ac:dyDescent="0.3">
      <c r="A43" s="17">
        <v>10</v>
      </c>
      <c r="B43" s="18"/>
      <c r="C43" s="61" t="s">
        <v>4</v>
      </c>
      <c r="D43" s="62"/>
      <c r="E43" s="21">
        <v>0</v>
      </c>
      <c r="F43" s="22"/>
      <c r="G43" s="23" t="s">
        <v>7</v>
      </c>
      <c r="H43" s="24"/>
      <c r="I43" s="13"/>
      <c r="J43" s="14"/>
      <c r="M43" s="17">
        <v>10</v>
      </c>
      <c r="N43" s="18"/>
      <c r="O43" s="19" t="s">
        <v>9</v>
      </c>
      <c r="P43" s="20"/>
      <c r="Q43" s="21">
        <v>2.9999999999999997E-4</v>
      </c>
      <c r="R43" s="22"/>
      <c r="S43" s="23" t="s">
        <v>7</v>
      </c>
      <c r="T43" s="24"/>
      <c r="U43" s="13"/>
      <c r="V43" s="14"/>
      <c r="Y43" s="17">
        <v>10</v>
      </c>
      <c r="Z43" s="18"/>
      <c r="AA43" s="19" t="s">
        <v>9</v>
      </c>
      <c r="AB43" s="20"/>
      <c r="AC43" s="21">
        <v>1.4E-3</v>
      </c>
      <c r="AD43" s="22"/>
      <c r="AE43" s="23" t="s">
        <v>7</v>
      </c>
      <c r="AF43" s="24"/>
      <c r="AG43" s="13"/>
      <c r="AH43" s="14"/>
    </row>
    <row r="44" spans="1:47" x14ac:dyDescent="0.3">
      <c r="A44" s="17">
        <v>10</v>
      </c>
      <c r="B44" s="18"/>
      <c r="C44" s="61" t="s">
        <v>4</v>
      </c>
      <c r="D44" s="62"/>
      <c r="E44" s="21">
        <v>0</v>
      </c>
      <c r="F44" s="22"/>
      <c r="G44" s="23" t="s">
        <v>7</v>
      </c>
      <c r="H44" s="24"/>
      <c r="I44" s="13"/>
      <c r="J44" s="14"/>
      <c r="M44" s="17">
        <v>10</v>
      </c>
      <c r="N44" s="18"/>
      <c r="O44" s="19" t="s">
        <v>9</v>
      </c>
      <c r="P44" s="20"/>
      <c r="Q44" s="21">
        <v>1E-4</v>
      </c>
      <c r="R44" s="22"/>
      <c r="S44" s="23" t="s">
        <v>7</v>
      </c>
      <c r="T44" s="24"/>
      <c r="U44" s="13"/>
      <c r="V44" s="14"/>
      <c r="Y44" s="17">
        <v>10</v>
      </c>
      <c r="Z44" s="18"/>
      <c r="AA44" s="19" t="s">
        <v>9</v>
      </c>
      <c r="AB44" s="20"/>
      <c r="AC44" s="21">
        <v>1.4E-3</v>
      </c>
      <c r="AD44" s="22"/>
      <c r="AE44" s="23" t="s">
        <v>7</v>
      </c>
      <c r="AF44" s="24"/>
      <c r="AG44" s="13"/>
      <c r="AH44" s="14"/>
    </row>
    <row r="45" spans="1:47" x14ac:dyDescent="0.3">
      <c r="A45" s="17">
        <v>10</v>
      </c>
      <c r="B45" s="18"/>
      <c r="C45" s="61" t="s">
        <v>4</v>
      </c>
      <c r="D45" s="62"/>
      <c r="E45" s="21">
        <v>0</v>
      </c>
      <c r="F45" s="22"/>
      <c r="G45" s="23" t="s">
        <v>7</v>
      </c>
      <c r="H45" s="24"/>
      <c r="I45" s="13"/>
      <c r="J45" s="14"/>
      <c r="M45" s="17">
        <v>10</v>
      </c>
      <c r="N45" s="18"/>
      <c r="O45" s="19" t="s">
        <v>9</v>
      </c>
      <c r="P45" s="20"/>
      <c r="Q45" s="21">
        <v>1E-4</v>
      </c>
      <c r="R45" s="22"/>
      <c r="S45" s="23" t="s">
        <v>7</v>
      </c>
      <c r="T45" s="24"/>
      <c r="U45" s="13"/>
      <c r="V45" s="14"/>
      <c r="Y45" s="17">
        <v>10</v>
      </c>
      <c r="Z45" s="18"/>
      <c r="AA45" s="19" t="s">
        <v>9</v>
      </c>
      <c r="AB45" s="20"/>
      <c r="AC45" s="21">
        <v>1E-3</v>
      </c>
      <c r="AD45" s="22"/>
      <c r="AE45" s="23" t="s">
        <v>7</v>
      </c>
      <c r="AF45" s="24"/>
      <c r="AG45" s="13"/>
      <c r="AH45" s="14"/>
    </row>
    <row r="46" spans="1:47" ht="15" thickBot="1" x14ac:dyDescent="0.35">
      <c r="A46" s="25">
        <v>10</v>
      </c>
      <c r="B46" s="26"/>
      <c r="C46" s="63" t="s">
        <v>4</v>
      </c>
      <c r="D46" s="64"/>
      <c r="E46" s="29">
        <v>0</v>
      </c>
      <c r="F46" s="30"/>
      <c r="G46" s="31" t="s">
        <v>7</v>
      </c>
      <c r="H46" s="32"/>
      <c r="I46" s="15"/>
      <c r="J46" s="16"/>
      <c r="M46" s="25">
        <v>10</v>
      </c>
      <c r="N46" s="26"/>
      <c r="O46" s="27" t="s">
        <v>9</v>
      </c>
      <c r="P46" s="28"/>
      <c r="Q46" s="49">
        <v>1E-4</v>
      </c>
      <c r="R46" s="50"/>
      <c r="S46" s="31" t="s">
        <v>7</v>
      </c>
      <c r="T46" s="32"/>
      <c r="U46" s="15"/>
      <c r="V46" s="16"/>
      <c r="Y46" s="25">
        <v>10</v>
      </c>
      <c r="Z46" s="26"/>
      <c r="AA46" s="27" t="s">
        <v>9</v>
      </c>
      <c r="AB46" s="28"/>
      <c r="AC46" s="29">
        <v>6.9999999999999999E-4</v>
      </c>
      <c r="AD46" s="30"/>
      <c r="AE46" s="31" t="s">
        <v>7</v>
      </c>
      <c r="AF46" s="32"/>
      <c r="AG46" s="15"/>
      <c r="AH46" s="16"/>
    </row>
    <row r="47" spans="1:47" ht="15" thickTop="1" x14ac:dyDescent="0.3">
      <c r="A47" s="51">
        <v>100</v>
      </c>
      <c r="B47" s="52"/>
      <c r="C47" s="73" t="s">
        <v>4</v>
      </c>
      <c r="D47" s="74"/>
      <c r="E47" s="59">
        <v>0</v>
      </c>
      <c r="F47" s="60"/>
      <c r="G47" s="53" t="s">
        <v>7</v>
      </c>
      <c r="H47" s="54"/>
      <c r="I47" s="11">
        <f t="shared" ref="I47" si="27">AVERAGE(E47:F51)</f>
        <v>4.0000000600000002E-2</v>
      </c>
      <c r="J47" s="12"/>
      <c r="M47" s="51">
        <v>100</v>
      </c>
      <c r="N47" s="52"/>
      <c r="O47" s="5" t="s">
        <v>9</v>
      </c>
      <c r="P47" s="6"/>
      <c r="Q47" s="59">
        <v>6.1999999999999998E-3</v>
      </c>
      <c r="R47" s="60"/>
      <c r="S47" s="53" t="s">
        <v>7</v>
      </c>
      <c r="T47" s="54"/>
      <c r="U47" s="11">
        <f t="shared" ref="U47" si="28">AVERAGE(Q47:R51)</f>
        <v>2.8399999999999996E-3</v>
      </c>
      <c r="V47" s="12"/>
      <c r="Y47" s="51">
        <v>100</v>
      </c>
      <c r="Z47" s="52"/>
      <c r="AA47" s="5" t="s">
        <v>9</v>
      </c>
      <c r="AB47" s="6"/>
      <c r="AC47" s="7">
        <v>1.3299999999999999E-2</v>
      </c>
      <c r="AD47" s="8"/>
      <c r="AE47" s="53" t="s">
        <v>7</v>
      </c>
      <c r="AF47" s="54"/>
      <c r="AG47" s="11">
        <f t="shared" ref="AG47" si="29">AVERAGE(AC47:AD51)</f>
        <v>1.2079999999999999E-2</v>
      </c>
      <c r="AH47" s="12"/>
    </row>
    <row r="48" spans="1:47" x14ac:dyDescent="0.3">
      <c r="A48" s="17">
        <v>100</v>
      </c>
      <c r="B48" s="18"/>
      <c r="C48" s="61" t="s">
        <v>4</v>
      </c>
      <c r="D48" s="62"/>
      <c r="E48" s="21">
        <v>0</v>
      </c>
      <c r="F48" s="22"/>
      <c r="G48" s="23" t="s">
        <v>7</v>
      </c>
      <c r="H48" s="24"/>
      <c r="I48" s="13"/>
      <c r="J48" s="14"/>
      <c r="M48" s="17">
        <v>100</v>
      </c>
      <c r="N48" s="18"/>
      <c r="O48" s="19" t="s">
        <v>9</v>
      </c>
      <c r="P48" s="20"/>
      <c r="Q48" s="21">
        <v>2.8E-3</v>
      </c>
      <c r="R48" s="22"/>
      <c r="S48" s="23" t="s">
        <v>7</v>
      </c>
      <c r="T48" s="24"/>
      <c r="U48" s="13"/>
      <c r="V48" s="14"/>
      <c r="Y48" s="17">
        <v>100</v>
      </c>
      <c r="Z48" s="18"/>
      <c r="AA48" s="19" t="s">
        <v>9</v>
      </c>
      <c r="AB48" s="20"/>
      <c r="AC48" s="21">
        <v>8.8000000000000005E-3</v>
      </c>
      <c r="AD48" s="22"/>
      <c r="AE48" s="23" t="s">
        <v>7</v>
      </c>
      <c r="AF48" s="24"/>
      <c r="AG48" s="13"/>
      <c r="AH48" s="14"/>
    </row>
    <row r="49" spans="1:34" x14ac:dyDescent="0.3">
      <c r="A49" s="17">
        <v>100</v>
      </c>
      <c r="B49" s="18"/>
      <c r="C49" s="61" t="s">
        <v>4</v>
      </c>
      <c r="D49" s="62"/>
      <c r="E49" s="21">
        <v>0.20000000300000001</v>
      </c>
      <c r="F49" s="22"/>
      <c r="G49" s="23" t="s">
        <v>7</v>
      </c>
      <c r="H49" s="24"/>
      <c r="I49" s="13"/>
      <c r="J49" s="14"/>
      <c r="M49" s="17">
        <v>100</v>
      </c>
      <c r="N49" s="18"/>
      <c r="O49" s="19" t="s">
        <v>9</v>
      </c>
      <c r="P49" s="20"/>
      <c r="Q49" s="21">
        <v>1.6000000000000001E-3</v>
      </c>
      <c r="R49" s="22"/>
      <c r="S49" s="23" t="s">
        <v>7</v>
      </c>
      <c r="T49" s="24"/>
      <c r="U49" s="13"/>
      <c r="V49" s="14"/>
      <c r="Y49" s="17">
        <v>100</v>
      </c>
      <c r="Z49" s="18"/>
      <c r="AA49" s="19" t="s">
        <v>9</v>
      </c>
      <c r="AB49" s="20"/>
      <c r="AC49" s="21">
        <v>1.2999999999999999E-2</v>
      </c>
      <c r="AD49" s="22"/>
      <c r="AE49" s="23" t="s">
        <v>7</v>
      </c>
      <c r="AF49" s="24"/>
      <c r="AG49" s="13"/>
      <c r="AH49" s="14"/>
    </row>
    <row r="50" spans="1:34" x14ac:dyDescent="0.3">
      <c r="A50" s="17">
        <v>100</v>
      </c>
      <c r="B50" s="18"/>
      <c r="C50" s="61" t="s">
        <v>4</v>
      </c>
      <c r="D50" s="62"/>
      <c r="E50" s="21">
        <v>0</v>
      </c>
      <c r="F50" s="22"/>
      <c r="G50" s="23" t="s">
        <v>7</v>
      </c>
      <c r="H50" s="24"/>
      <c r="I50" s="13"/>
      <c r="J50" s="14"/>
      <c r="M50" s="17">
        <v>100</v>
      </c>
      <c r="N50" s="18"/>
      <c r="O50" s="19" t="s">
        <v>9</v>
      </c>
      <c r="P50" s="20"/>
      <c r="Q50" s="21">
        <v>1.8E-3</v>
      </c>
      <c r="R50" s="22"/>
      <c r="S50" s="23" t="s">
        <v>7</v>
      </c>
      <c r="T50" s="24"/>
      <c r="U50" s="13"/>
      <c r="V50" s="14"/>
      <c r="Y50" s="17">
        <v>100</v>
      </c>
      <c r="Z50" s="18"/>
      <c r="AA50" s="19" t="s">
        <v>9</v>
      </c>
      <c r="AB50" s="20"/>
      <c r="AC50" s="21">
        <v>1.2699999999999999E-2</v>
      </c>
      <c r="AD50" s="22"/>
      <c r="AE50" s="23" t="s">
        <v>7</v>
      </c>
      <c r="AF50" s="24"/>
      <c r="AG50" s="13"/>
      <c r="AH50" s="14"/>
    </row>
    <row r="51" spans="1:34" ht="15" thickBot="1" x14ac:dyDescent="0.35">
      <c r="A51" s="25">
        <v>100</v>
      </c>
      <c r="B51" s="26"/>
      <c r="C51" s="63" t="s">
        <v>4</v>
      </c>
      <c r="D51" s="64"/>
      <c r="E51" s="29">
        <v>0</v>
      </c>
      <c r="F51" s="30"/>
      <c r="G51" s="31" t="s">
        <v>7</v>
      </c>
      <c r="H51" s="32"/>
      <c r="I51" s="15"/>
      <c r="J51" s="16"/>
      <c r="M51" s="25">
        <v>100</v>
      </c>
      <c r="N51" s="26"/>
      <c r="O51" s="27" t="s">
        <v>9</v>
      </c>
      <c r="P51" s="28"/>
      <c r="Q51" s="29">
        <v>1.8E-3</v>
      </c>
      <c r="R51" s="30"/>
      <c r="S51" s="31" t="s">
        <v>7</v>
      </c>
      <c r="T51" s="32"/>
      <c r="U51" s="15"/>
      <c r="V51" s="16"/>
      <c r="Y51" s="25">
        <v>100</v>
      </c>
      <c r="Z51" s="26"/>
      <c r="AA51" s="27" t="s">
        <v>9</v>
      </c>
      <c r="AB51" s="28"/>
      <c r="AC51" s="55">
        <v>1.26E-2</v>
      </c>
      <c r="AD51" s="56"/>
      <c r="AE51" s="31" t="s">
        <v>7</v>
      </c>
      <c r="AF51" s="32"/>
      <c r="AG51" s="15"/>
      <c r="AH51" s="16"/>
    </row>
    <row r="52" spans="1:34" ht="15" thickTop="1" x14ac:dyDescent="0.3">
      <c r="A52" s="3">
        <v>1000</v>
      </c>
      <c r="B52" s="4"/>
      <c r="C52" s="43" t="s">
        <v>4</v>
      </c>
      <c r="D52" s="44"/>
      <c r="E52" s="7">
        <v>9.9999993999999995E-2</v>
      </c>
      <c r="F52" s="8"/>
      <c r="G52" s="9" t="s">
        <v>7</v>
      </c>
      <c r="H52" s="10"/>
      <c r="I52" s="11">
        <f t="shared" ref="I52" si="30">AVERAGE(E52:F56)</f>
        <v>1.9999998799999998E-2</v>
      </c>
      <c r="J52" s="12"/>
      <c r="M52" s="3">
        <v>1000</v>
      </c>
      <c r="N52" s="4"/>
      <c r="O52" s="5" t="s">
        <v>9</v>
      </c>
      <c r="P52" s="6"/>
      <c r="Q52" s="7">
        <v>7.3999999999999996E-2</v>
      </c>
      <c r="R52" s="8"/>
      <c r="S52" s="9" t="s">
        <v>7</v>
      </c>
      <c r="T52" s="10"/>
      <c r="U52" s="11">
        <f t="shared" ref="U52" si="31">AVERAGE(Q52:R56)</f>
        <v>5.9179999999999996E-2</v>
      </c>
      <c r="V52" s="12"/>
      <c r="Y52" s="3">
        <v>1000</v>
      </c>
      <c r="Z52" s="4"/>
      <c r="AA52" s="5" t="s">
        <v>9</v>
      </c>
      <c r="AB52" s="6"/>
      <c r="AC52" s="45">
        <v>0.156</v>
      </c>
      <c r="AD52" s="46"/>
      <c r="AE52" s="9" t="s">
        <v>7</v>
      </c>
      <c r="AF52" s="10"/>
      <c r="AG52" s="11">
        <f t="shared" ref="AG52" si="32">AVERAGE(AC52:AD56)</f>
        <v>0.14198</v>
      </c>
      <c r="AH52" s="12"/>
    </row>
    <row r="53" spans="1:34" x14ac:dyDescent="0.3">
      <c r="A53" s="17">
        <v>1000</v>
      </c>
      <c r="B53" s="18"/>
      <c r="C53" s="61" t="s">
        <v>4</v>
      </c>
      <c r="D53" s="62"/>
      <c r="E53" s="21">
        <v>0</v>
      </c>
      <c r="F53" s="22"/>
      <c r="G53" s="23" t="s">
        <v>7</v>
      </c>
      <c r="H53" s="24"/>
      <c r="I53" s="13"/>
      <c r="J53" s="14"/>
      <c r="M53" s="17">
        <v>1000</v>
      </c>
      <c r="N53" s="18"/>
      <c r="O53" s="19" t="s">
        <v>9</v>
      </c>
      <c r="P53" s="20"/>
      <c r="Q53" s="21">
        <v>6.4699999999999994E-2</v>
      </c>
      <c r="R53" s="22"/>
      <c r="S53" s="23" t="s">
        <v>7</v>
      </c>
      <c r="T53" s="24"/>
      <c r="U53" s="13"/>
      <c r="V53" s="14"/>
      <c r="Y53" s="17">
        <v>1000</v>
      </c>
      <c r="Z53" s="18"/>
      <c r="AA53" s="19" t="s">
        <v>9</v>
      </c>
      <c r="AB53" s="20"/>
      <c r="AC53" s="47">
        <v>0.14499999999999999</v>
      </c>
      <c r="AD53" s="48"/>
      <c r="AE53" s="23" t="s">
        <v>7</v>
      </c>
      <c r="AF53" s="24"/>
      <c r="AG53" s="13"/>
      <c r="AH53" s="14"/>
    </row>
    <row r="54" spans="1:34" x14ac:dyDescent="0.3">
      <c r="A54" s="17">
        <v>1000</v>
      </c>
      <c r="B54" s="18"/>
      <c r="C54" s="61" t="s">
        <v>4</v>
      </c>
      <c r="D54" s="62"/>
      <c r="E54" s="21">
        <v>0</v>
      </c>
      <c r="F54" s="22"/>
      <c r="G54" s="23" t="s">
        <v>7</v>
      </c>
      <c r="H54" s="24"/>
      <c r="I54" s="13"/>
      <c r="J54" s="14"/>
      <c r="M54" s="17">
        <v>1000</v>
      </c>
      <c r="N54" s="18"/>
      <c r="O54" s="19" t="s">
        <v>9</v>
      </c>
      <c r="P54" s="20"/>
      <c r="Q54" s="21">
        <v>5.8799999999999998E-2</v>
      </c>
      <c r="R54" s="22"/>
      <c r="S54" s="23" t="s">
        <v>7</v>
      </c>
      <c r="T54" s="24"/>
      <c r="U54" s="13"/>
      <c r="V54" s="14"/>
      <c r="Y54" s="17">
        <v>1000</v>
      </c>
      <c r="Z54" s="18"/>
      <c r="AA54" s="19" t="s">
        <v>9</v>
      </c>
      <c r="AB54" s="20"/>
      <c r="AC54" s="47">
        <v>0.1396</v>
      </c>
      <c r="AD54" s="48"/>
      <c r="AE54" s="23" t="s">
        <v>7</v>
      </c>
      <c r="AF54" s="24"/>
      <c r="AG54" s="13"/>
      <c r="AH54" s="14"/>
    </row>
    <row r="55" spans="1:34" x14ac:dyDescent="0.3">
      <c r="A55" s="17">
        <v>1000</v>
      </c>
      <c r="B55" s="18"/>
      <c r="C55" s="61" t="s">
        <v>4</v>
      </c>
      <c r="D55" s="62"/>
      <c r="E55" s="21">
        <v>0</v>
      </c>
      <c r="F55" s="22"/>
      <c r="G55" s="23" t="s">
        <v>7</v>
      </c>
      <c r="H55" s="24"/>
      <c r="I55" s="13"/>
      <c r="J55" s="14"/>
      <c r="M55" s="17">
        <v>1000</v>
      </c>
      <c r="N55" s="18"/>
      <c r="O55" s="19" t="s">
        <v>9</v>
      </c>
      <c r="P55" s="20"/>
      <c r="Q55" s="21">
        <v>5.0900000000000001E-2</v>
      </c>
      <c r="R55" s="22"/>
      <c r="S55" s="23" t="s">
        <v>7</v>
      </c>
      <c r="T55" s="24"/>
      <c r="U55" s="13"/>
      <c r="V55" s="14"/>
      <c r="Y55" s="17">
        <v>1000</v>
      </c>
      <c r="Z55" s="18"/>
      <c r="AA55" s="19" t="s">
        <v>9</v>
      </c>
      <c r="AB55" s="20"/>
      <c r="AC55" s="47">
        <v>0.13500000000000001</v>
      </c>
      <c r="AD55" s="48"/>
      <c r="AE55" s="23" t="s">
        <v>7</v>
      </c>
      <c r="AF55" s="24"/>
      <c r="AG55" s="13"/>
      <c r="AH55" s="14"/>
    </row>
    <row r="56" spans="1:34" ht="15" thickBot="1" x14ac:dyDescent="0.35">
      <c r="A56" s="25">
        <v>1000</v>
      </c>
      <c r="B56" s="26"/>
      <c r="C56" s="63" t="s">
        <v>4</v>
      </c>
      <c r="D56" s="64"/>
      <c r="E56" s="29">
        <v>0</v>
      </c>
      <c r="F56" s="30"/>
      <c r="G56" s="31" t="s">
        <v>7</v>
      </c>
      <c r="H56" s="32"/>
      <c r="I56" s="15"/>
      <c r="J56" s="16"/>
      <c r="M56" s="25">
        <v>1000</v>
      </c>
      <c r="N56" s="26"/>
      <c r="O56" s="27" t="s">
        <v>9</v>
      </c>
      <c r="P56" s="28"/>
      <c r="Q56" s="29">
        <v>4.7500000000000001E-2</v>
      </c>
      <c r="R56" s="30"/>
      <c r="S56" s="31" t="s">
        <v>7</v>
      </c>
      <c r="T56" s="32"/>
      <c r="U56" s="15"/>
      <c r="V56" s="16"/>
      <c r="Y56" s="25">
        <v>1000</v>
      </c>
      <c r="Z56" s="26"/>
      <c r="AA56" s="27" t="s">
        <v>9</v>
      </c>
      <c r="AB56" s="28"/>
      <c r="AC56" s="49">
        <v>0.1343</v>
      </c>
      <c r="AD56" s="50"/>
      <c r="AE56" s="31" t="s">
        <v>7</v>
      </c>
      <c r="AF56" s="32"/>
      <c r="AG56" s="15"/>
      <c r="AH56" s="16"/>
    </row>
    <row r="57" spans="1:34" ht="15" thickTop="1" x14ac:dyDescent="0.3">
      <c r="A57" s="3">
        <v>10000</v>
      </c>
      <c r="B57" s="4"/>
      <c r="C57" s="43" t="s">
        <v>4</v>
      </c>
      <c r="D57" s="44"/>
      <c r="E57" s="7">
        <v>0.59999999400000004</v>
      </c>
      <c r="F57" s="8"/>
      <c r="G57" s="9" t="s">
        <v>7</v>
      </c>
      <c r="H57" s="10"/>
      <c r="I57" s="11">
        <f t="shared" ref="I57" si="33">AVERAGE(E57:F61)</f>
        <v>0.24000000057999998</v>
      </c>
      <c r="J57" s="12"/>
      <c r="M57" s="3">
        <v>10000</v>
      </c>
      <c r="N57" s="4"/>
      <c r="O57" s="5" t="s">
        <v>9</v>
      </c>
      <c r="P57" s="6"/>
      <c r="Q57" s="7">
        <v>0.98750000000000004</v>
      </c>
      <c r="R57" s="8"/>
      <c r="S57" s="9" t="s">
        <v>7</v>
      </c>
      <c r="T57" s="10"/>
      <c r="U57" s="11">
        <f t="shared" ref="U57" si="34">AVERAGE(Q57:R61)</f>
        <v>0.85595999999999994</v>
      </c>
      <c r="V57" s="12"/>
      <c r="Y57" s="3">
        <v>10000</v>
      </c>
      <c r="Z57" s="4"/>
      <c r="AA57" s="5" t="s">
        <v>9</v>
      </c>
      <c r="AB57" s="6"/>
      <c r="AC57" s="59">
        <v>2.3424</v>
      </c>
      <c r="AD57" s="60"/>
      <c r="AE57" s="9" t="s">
        <v>7</v>
      </c>
      <c r="AF57" s="10"/>
      <c r="AG57" s="11">
        <f>AVERAGE(AC57:AD61)</f>
        <v>2.4767399999999999</v>
      </c>
      <c r="AH57" s="12"/>
    </row>
    <row r="58" spans="1:34" x14ac:dyDescent="0.3">
      <c r="A58" s="17">
        <v>10000</v>
      </c>
      <c r="B58" s="18"/>
      <c r="C58" s="61" t="s">
        <v>4</v>
      </c>
      <c r="D58" s="62"/>
      <c r="E58" s="21">
        <v>0.20000000300000001</v>
      </c>
      <c r="F58" s="22"/>
      <c r="G58" s="23" t="s">
        <v>7</v>
      </c>
      <c r="H58" s="24"/>
      <c r="I58" s="13"/>
      <c r="J58" s="14"/>
      <c r="M58" s="17">
        <v>10000</v>
      </c>
      <c r="N58" s="18"/>
      <c r="O58" s="19" t="s">
        <v>9</v>
      </c>
      <c r="P58" s="20"/>
      <c r="Q58" s="21">
        <v>0.79630000000000001</v>
      </c>
      <c r="R58" s="22"/>
      <c r="S58" s="23" t="s">
        <v>7</v>
      </c>
      <c r="T58" s="24"/>
      <c r="U58" s="13"/>
      <c r="V58" s="14"/>
      <c r="Y58" s="17">
        <v>10000</v>
      </c>
      <c r="Z58" s="18"/>
      <c r="AA58" s="19" t="s">
        <v>9</v>
      </c>
      <c r="AB58" s="20"/>
      <c r="AC58" s="21">
        <v>2.379</v>
      </c>
      <c r="AD58" s="22"/>
      <c r="AE58" s="23" t="s">
        <v>7</v>
      </c>
      <c r="AF58" s="24"/>
      <c r="AG58" s="13"/>
      <c r="AH58" s="14"/>
    </row>
    <row r="59" spans="1:34" x14ac:dyDescent="0.3">
      <c r="A59" s="17">
        <v>10000</v>
      </c>
      <c r="B59" s="18"/>
      <c r="C59" s="61" t="s">
        <v>4</v>
      </c>
      <c r="D59" s="62"/>
      <c r="E59" s="21">
        <v>9.9999993999999995E-2</v>
      </c>
      <c r="F59" s="22"/>
      <c r="G59" s="23" t="s">
        <v>7</v>
      </c>
      <c r="H59" s="24"/>
      <c r="I59" s="13"/>
      <c r="J59" s="14"/>
      <c r="M59" s="17">
        <v>10000</v>
      </c>
      <c r="N59" s="18"/>
      <c r="O59" s="19" t="s">
        <v>9</v>
      </c>
      <c r="P59" s="20"/>
      <c r="Q59" s="21">
        <v>0.8085</v>
      </c>
      <c r="R59" s="22"/>
      <c r="S59" s="23" t="s">
        <v>7</v>
      </c>
      <c r="T59" s="24"/>
      <c r="U59" s="13"/>
      <c r="V59" s="14"/>
      <c r="Y59" s="17">
        <v>10000</v>
      </c>
      <c r="Z59" s="18"/>
      <c r="AA59" s="19" t="s">
        <v>9</v>
      </c>
      <c r="AB59" s="20"/>
      <c r="AC59" s="21">
        <v>2.4291999999999998</v>
      </c>
      <c r="AD59" s="22"/>
      <c r="AE59" s="23" t="s">
        <v>7</v>
      </c>
      <c r="AF59" s="24"/>
      <c r="AG59" s="13"/>
      <c r="AH59" s="14"/>
    </row>
    <row r="60" spans="1:34" x14ac:dyDescent="0.3">
      <c r="A60" s="17">
        <v>10000</v>
      </c>
      <c r="B60" s="18"/>
      <c r="C60" s="61" t="s">
        <v>4</v>
      </c>
      <c r="D60" s="62"/>
      <c r="E60" s="21">
        <v>0.20000000300000001</v>
      </c>
      <c r="F60" s="22"/>
      <c r="G60" s="23" t="s">
        <v>7</v>
      </c>
      <c r="H60" s="24"/>
      <c r="I60" s="13"/>
      <c r="J60" s="14"/>
      <c r="M60" s="17">
        <v>10000</v>
      </c>
      <c r="N60" s="18"/>
      <c r="O60" s="19" t="s">
        <v>9</v>
      </c>
      <c r="P60" s="20"/>
      <c r="Q60" s="21">
        <v>0.82310000000000005</v>
      </c>
      <c r="R60" s="22"/>
      <c r="S60" s="23" t="s">
        <v>7</v>
      </c>
      <c r="T60" s="24"/>
      <c r="U60" s="13"/>
      <c r="V60" s="14"/>
      <c r="Y60" s="17">
        <v>10000</v>
      </c>
      <c r="Z60" s="18"/>
      <c r="AA60" s="19" t="s">
        <v>9</v>
      </c>
      <c r="AB60" s="20"/>
      <c r="AC60" s="21">
        <v>2.6292</v>
      </c>
      <c r="AD60" s="22"/>
      <c r="AE60" s="23" t="s">
        <v>7</v>
      </c>
      <c r="AF60" s="24"/>
      <c r="AG60" s="13"/>
      <c r="AH60" s="14"/>
    </row>
    <row r="61" spans="1:34" ht="15" thickBot="1" x14ac:dyDescent="0.35">
      <c r="A61" s="65">
        <v>10000</v>
      </c>
      <c r="B61" s="66"/>
      <c r="C61" s="67" t="s">
        <v>4</v>
      </c>
      <c r="D61" s="68"/>
      <c r="E61" s="69">
        <v>0.10000000890000001</v>
      </c>
      <c r="F61" s="70"/>
      <c r="G61" s="71" t="s">
        <v>7</v>
      </c>
      <c r="H61" s="72"/>
      <c r="I61" s="15"/>
      <c r="J61" s="16"/>
      <c r="M61" s="65">
        <v>10000</v>
      </c>
      <c r="N61" s="66"/>
      <c r="O61" s="76" t="s">
        <v>9</v>
      </c>
      <c r="P61" s="77"/>
      <c r="Q61" s="69">
        <v>0.86439999999999995</v>
      </c>
      <c r="R61" s="70"/>
      <c r="S61" s="71" t="s">
        <v>7</v>
      </c>
      <c r="T61" s="72"/>
      <c r="U61" s="15"/>
      <c r="V61" s="16"/>
      <c r="Y61" s="65">
        <v>10000</v>
      </c>
      <c r="Z61" s="66"/>
      <c r="AA61" s="76" t="s">
        <v>9</v>
      </c>
      <c r="AB61" s="77"/>
      <c r="AC61" s="55">
        <v>2.6038999999999999</v>
      </c>
      <c r="AD61" s="81"/>
      <c r="AE61" s="71" t="s">
        <v>7</v>
      </c>
      <c r="AF61" s="72"/>
      <c r="AG61" s="15"/>
      <c r="AH61" s="16"/>
    </row>
    <row r="62" spans="1:34" ht="15" thickTop="1" x14ac:dyDescent="0.3">
      <c r="A62" s="51">
        <v>10</v>
      </c>
      <c r="B62" s="52"/>
      <c r="C62" s="73" t="s">
        <v>4</v>
      </c>
      <c r="D62" s="74"/>
      <c r="E62" s="59">
        <v>0</v>
      </c>
      <c r="F62" s="60"/>
      <c r="G62" s="53" t="s">
        <v>8</v>
      </c>
      <c r="H62" s="54"/>
      <c r="I62" s="11">
        <f t="shared" ref="I62" si="35">AVERAGE(E62:F66)</f>
        <v>0</v>
      </c>
      <c r="J62" s="12"/>
      <c r="M62" s="51">
        <v>10</v>
      </c>
      <c r="N62" s="52"/>
      <c r="O62" s="57" t="s">
        <v>9</v>
      </c>
      <c r="P62" s="58"/>
      <c r="Q62" s="59">
        <v>4.0000000000000002E-4</v>
      </c>
      <c r="R62" s="60"/>
      <c r="S62" s="53" t="s">
        <v>8</v>
      </c>
      <c r="T62" s="54"/>
      <c r="U62" s="11">
        <f t="shared" ref="U62" si="36">AVERAGE(Q62:R66)</f>
        <v>1.8000000000000004E-4</v>
      </c>
      <c r="V62" s="12"/>
      <c r="Y62" s="51">
        <v>10</v>
      </c>
      <c r="Z62" s="52"/>
      <c r="AA62" s="57" t="s">
        <v>9</v>
      </c>
      <c r="AB62" s="58"/>
      <c r="AC62" s="78">
        <v>8.9999999999999998E-4</v>
      </c>
      <c r="AD62" s="79"/>
      <c r="AE62" s="53" t="s">
        <v>8</v>
      </c>
      <c r="AF62" s="54"/>
      <c r="AG62" s="11">
        <f t="shared" ref="AG62" si="37">AVERAGE(AC62:AD66)</f>
        <v>6.2E-4</v>
      </c>
      <c r="AH62" s="12"/>
    </row>
    <row r="63" spans="1:34" x14ac:dyDescent="0.3">
      <c r="A63" s="17">
        <v>10</v>
      </c>
      <c r="B63" s="18"/>
      <c r="C63" s="61" t="s">
        <v>4</v>
      </c>
      <c r="D63" s="62"/>
      <c r="E63" s="21">
        <v>0</v>
      </c>
      <c r="F63" s="22"/>
      <c r="G63" s="23" t="s">
        <v>8</v>
      </c>
      <c r="H63" s="24"/>
      <c r="I63" s="13"/>
      <c r="J63" s="14"/>
      <c r="M63" s="17">
        <v>10</v>
      </c>
      <c r="N63" s="18"/>
      <c r="O63" s="19" t="s">
        <v>9</v>
      </c>
      <c r="P63" s="20"/>
      <c r="Q63" s="21">
        <v>2.0000000000000001E-4</v>
      </c>
      <c r="R63" s="22"/>
      <c r="S63" s="23" t="s">
        <v>8</v>
      </c>
      <c r="T63" s="24"/>
      <c r="U63" s="13"/>
      <c r="V63" s="14"/>
      <c r="Y63" s="17">
        <v>10</v>
      </c>
      <c r="Z63" s="18"/>
      <c r="AA63" s="19" t="s">
        <v>9</v>
      </c>
      <c r="AB63" s="20"/>
      <c r="AC63" s="47">
        <v>6.9999999999999999E-4</v>
      </c>
      <c r="AD63" s="48"/>
      <c r="AE63" s="23" t="s">
        <v>8</v>
      </c>
      <c r="AF63" s="24"/>
      <c r="AG63" s="13"/>
      <c r="AH63" s="14"/>
    </row>
    <row r="64" spans="1:34" x14ac:dyDescent="0.3">
      <c r="A64" s="17">
        <v>10</v>
      </c>
      <c r="B64" s="18"/>
      <c r="C64" s="61" t="s">
        <v>4</v>
      </c>
      <c r="D64" s="62"/>
      <c r="E64" s="21">
        <v>0</v>
      </c>
      <c r="F64" s="22"/>
      <c r="G64" s="23" t="s">
        <v>8</v>
      </c>
      <c r="H64" s="24"/>
      <c r="I64" s="13"/>
      <c r="J64" s="14"/>
      <c r="M64" s="17">
        <v>10</v>
      </c>
      <c r="N64" s="18"/>
      <c r="O64" s="19" t="s">
        <v>9</v>
      </c>
      <c r="P64" s="20"/>
      <c r="Q64" s="21">
        <v>1E-4</v>
      </c>
      <c r="R64" s="22"/>
      <c r="S64" s="23" t="s">
        <v>8</v>
      </c>
      <c r="T64" s="24"/>
      <c r="U64" s="13"/>
      <c r="V64" s="14"/>
      <c r="Y64" s="17">
        <v>10</v>
      </c>
      <c r="Z64" s="18"/>
      <c r="AA64" s="19" t="s">
        <v>9</v>
      </c>
      <c r="AB64" s="20"/>
      <c r="AC64" s="47">
        <v>5.0000000000000001E-4</v>
      </c>
      <c r="AD64" s="48"/>
      <c r="AE64" s="23" t="s">
        <v>8</v>
      </c>
      <c r="AF64" s="24"/>
      <c r="AG64" s="13"/>
      <c r="AH64" s="14"/>
    </row>
    <row r="65" spans="1:34" x14ac:dyDescent="0.3">
      <c r="A65" s="17">
        <v>10</v>
      </c>
      <c r="B65" s="18"/>
      <c r="C65" s="61" t="s">
        <v>4</v>
      </c>
      <c r="D65" s="62"/>
      <c r="E65" s="21">
        <v>0</v>
      </c>
      <c r="F65" s="22"/>
      <c r="G65" s="23" t="s">
        <v>8</v>
      </c>
      <c r="H65" s="24"/>
      <c r="I65" s="13"/>
      <c r="J65" s="14"/>
      <c r="M65" s="17">
        <v>10</v>
      </c>
      <c r="N65" s="18"/>
      <c r="O65" s="19" t="s">
        <v>9</v>
      </c>
      <c r="P65" s="20"/>
      <c r="Q65" s="21">
        <v>1E-4</v>
      </c>
      <c r="R65" s="22"/>
      <c r="S65" s="23" t="s">
        <v>8</v>
      </c>
      <c r="T65" s="24"/>
      <c r="U65" s="13"/>
      <c r="V65" s="14"/>
      <c r="Y65" s="17">
        <v>10</v>
      </c>
      <c r="Z65" s="18"/>
      <c r="AA65" s="19" t="s">
        <v>9</v>
      </c>
      <c r="AB65" s="20"/>
      <c r="AC65" s="47">
        <v>5.0000000000000001E-4</v>
      </c>
      <c r="AD65" s="48"/>
      <c r="AE65" s="23" t="s">
        <v>8</v>
      </c>
      <c r="AF65" s="24"/>
      <c r="AG65" s="13"/>
      <c r="AH65" s="14"/>
    </row>
    <row r="66" spans="1:34" ht="15" thickBot="1" x14ac:dyDescent="0.35">
      <c r="A66" s="25">
        <v>10</v>
      </c>
      <c r="B66" s="26"/>
      <c r="C66" s="63" t="s">
        <v>4</v>
      </c>
      <c r="D66" s="64"/>
      <c r="E66" s="29">
        <v>0</v>
      </c>
      <c r="F66" s="30"/>
      <c r="G66" s="31" t="s">
        <v>8</v>
      </c>
      <c r="H66" s="32"/>
      <c r="I66" s="15"/>
      <c r="J66" s="16"/>
      <c r="M66" s="25">
        <v>10</v>
      </c>
      <c r="N66" s="26"/>
      <c r="O66" s="27" t="s">
        <v>9</v>
      </c>
      <c r="P66" s="28"/>
      <c r="Q66" s="49">
        <v>1E-4</v>
      </c>
      <c r="R66" s="50"/>
      <c r="S66" s="31" t="s">
        <v>8</v>
      </c>
      <c r="T66" s="32"/>
      <c r="U66" s="15"/>
      <c r="V66" s="16"/>
      <c r="Y66" s="25">
        <v>10</v>
      </c>
      <c r="Z66" s="26"/>
      <c r="AA66" s="27" t="s">
        <v>9</v>
      </c>
      <c r="AB66" s="28"/>
      <c r="AC66" s="49">
        <v>5.0000000000000001E-4</v>
      </c>
      <c r="AD66" s="50"/>
      <c r="AE66" s="31" t="s">
        <v>8</v>
      </c>
      <c r="AF66" s="32"/>
      <c r="AG66" s="15"/>
      <c r="AH66" s="16"/>
    </row>
    <row r="67" spans="1:34" ht="15" thickTop="1" x14ac:dyDescent="0.3">
      <c r="A67" s="51">
        <v>100</v>
      </c>
      <c r="B67" s="52"/>
      <c r="C67" s="73" t="s">
        <v>4</v>
      </c>
      <c r="D67" s="74"/>
      <c r="E67" s="59">
        <v>0.1000000238</v>
      </c>
      <c r="F67" s="60"/>
      <c r="G67" s="53" t="s">
        <v>8</v>
      </c>
      <c r="H67" s="54"/>
      <c r="I67" s="11">
        <f t="shared" ref="I67" si="38">AVERAGE(E67:F71)</f>
        <v>2.0000004760000002E-2</v>
      </c>
      <c r="J67" s="12"/>
      <c r="M67" s="51">
        <v>100</v>
      </c>
      <c r="N67" s="52"/>
      <c r="O67" s="5" t="s">
        <v>9</v>
      </c>
      <c r="P67" s="6"/>
      <c r="Q67" s="59">
        <v>5.3E-3</v>
      </c>
      <c r="R67" s="60"/>
      <c r="S67" s="53" t="s">
        <v>8</v>
      </c>
      <c r="T67" s="54"/>
      <c r="U67" s="11">
        <f t="shared" ref="U67" si="39">AVERAGE(Q67:R71)</f>
        <v>5.1599999999999997E-3</v>
      </c>
      <c r="V67" s="12"/>
      <c r="Y67" s="51">
        <v>100</v>
      </c>
      <c r="Z67" s="52"/>
      <c r="AA67" s="5" t="s">
        <v>9</v>
      </c>
      <c r="AB67" s="6"/>
      <c r="AC67" s="59">
        <v>2.7E-2</v>
      </c>
      <c r="AD67" s="60"/>
      <c r="AE67" s="53" t="s">
        <v>8</v>
      </c>
      <c r="AF67" s="54"/>
      <c r="AG67" s="11">
        <f t="shared" ref="AG67" si="40">AVERAGE(AC67:AD71)</f>
        <v>2.6799999999999997E-2</v>
      </c>
      <c r="AH67" s="12"/>
    </row>
    <row r="68" spans="1:34" x14ac:dyDescent="0.3">
      <c r="A68" s="17">
        <v>100</v>
      </c>
      <c r="B68" s="18"/>
      <c r="C68" s="61" t="s">
        <v>4</v>
      </c>
      <c r="D68" s="62"/>
      <c r="E68" s="21">
        <v>0</v>
      </c>
      <c r="F68" s="22"/>
      <c r="G68" s="23" t="s">
        <v>8</v>
      </c>
      <c r="H68" s="24"/>
      <c r="I68" s="13"/>
      <c r="J68" s="14"/>
      <c r="M68" s="17">
        <v>100</v>
      </c>
      <c r="N68" s="18"/>
      <c r="O68" s="19" t="s">
        <v>9</v>
      </c>
      <c r="P68" s="20"/>
      <c r="Q68" s="21">
        <v>5.1000000000000004E-3</v>
      </c>
      <c r="R68" s="22"/>
      <c r="S68" s="23" t="s">
        <v>8</v>
      </c>
      <c r="T68" s="24"/>
      <c r="U68" s="13"/>
      <c r="V68" s="14"/>
      <c r="Y68" s="17">
        <v>100</v>
      </c>
      <c r="Z68" s="18"/>
      <c r="AA68" s="19" t="s">
        <v>9</v>
      </c>
      <c r="AB68" s="20"/>
      <c r="AC68" s="21">
        <v>2.7099999999999999E-2</v>
      </c>
      <c r="AD68" s="22"/>
      <c r="AE68" s="23" t="s">
        <v>8</v>
      </c>
      <c r="AF68" s="24"/>
      <c r="AG68" s="13"/>
      <c r="AH68" s="14"/>
    </row>
    <row r="69" spans="1:34" x14ac:dyDescent="0.3">
      <c r="A69" s="17">
        <v>100</v>
      </c>
      <c r="B69" s="18"/>
      <c r="C69" s="61" t="s">
        <v>4</v>
      </c>
      <c r="D69" s="62"/>
      <c r="E69" s="21">
        <v>0</v>
      </c>
      <c r="F69" s="22"/>
      <c r="G69" s="23" t="s">
        <v>8</v>
      </c>
      <c r="H69" s="24"/>
      <c r="I69" s="13"/>
      <c r="J69" s="14"/>
      <c r="M69" s="17">
        <v>100</v>
      </c>
      <c r="N69" s="18"/>
      <c r="O69" s="19" t="s">
        <v>9</v>
      </c>
      <c r="P69" s="20"/>
      <c r="Q69" s="21">
        <v>5.0000000000000001E-3</v>
      </c>
      <c r="R69" s="22"/>
      <c r="S69" s="23" t="s">
        <v>8</v>
      </c>
      <c r="T69" s="24"/>
      <c r="U69" s="13"/>
      <c r="V69" s="14"/>
      <c r="Y69" s="17">
        <v>100</v>
      </c>
      <c r="Z69" s="18"/>
      <c r="AA69" s="19" t="s">
        <v>9</v>
      </c>
      <c r="AB69" s="20"/>
      <c r="AC69" s="21">
        <v>2.7099999999999999E-2</v>
      </c>
      <c r="AD69" s="22"/>
      <c r="AE69" s="23" t="s">
        <v>8</v>
      </c>
      <c r="AF69" s="24"/>
      <c r="AG69" s="13"/>
      <c r="AH69" s="14"/>
    </row>
    <row r="70" spans="1:34" x14ac:dyDescent="0.3">
      <c r="A70" s="17">
        <v>100</v>
      </c>
      <c r="B70" s="18"/>
      <c r="C70" s="61" t="s">
        <v>4</v>
      </c>
      <c r="D70" s="62"/>
      <c r="E70" s="21">
        <v>0</v>
      </c>
      <c r="F70" s="22"/>
      <c r="G70" s="23" t="s">
        <v>8</v>
      </c>
      <c r="H70" s="24"/>
      <c r="I70" s="13"/>
      <c r="J70" s="14"/>
      <c r="M70" s="17">
        <v>100</v>
      </c>
      <c r="N70" s="18"/>
      <c r="O70" s="19" t="s">
        <v>9</v>
      </c>
      <c r="P70" s="20"/>
      <c r="Q70" s="21">
        <v>5.3E-3</v>
      </c>
      <c r="R70" s="22"/>
      <c r="S70" s="23" t="s">
        <v>8</v>
      </c>
      <c r="T70" s="24"/>
      <c r="U70" s="13"/>
      <c r="V70" s="14"/>
      <c r="Y70" s="17">
        <v>100</v>
      </c>
      <c r="Z70" s="18"/>
      <c r="AA70" s="19" t="s">
        <v>9</v>
      </c>
      <c r="AB70" s="20"/>
      <c r="AC70" s="21">
        <v>2.6499999999999999E-2</v>
      </c>
      <c r="AD70" s="22"/>
      <c r="AE70" s="23" t="s">
        <v>8</v>
      </c>
      <c r="AF70" s="24"/>
      <c r="AG70" s="13"/>
      <c r="AH70" s="14"/>
    </row>
    <row r="71" spans="1:34" ht="15" thickBot="1" x14ac:dyDescent="0.35">
      <c r="A71" s="25">
        <v>100</v>
      </c>
      <c r="B71" s="26"/>
      <c r="C71" s="63" t="s">
        <v>4</v>
      </c>
      <c r="D71" s="64"/>
      <c r="E71" s="29">
        <v>0</v>
      </c>
      <c r="F71" s="30"/>
      <c r="G71" s="31" t="s">
        <v>8</v>
      </c>
      <c r="H71" s="32"/>
      <c r="I71" s="15"/>
      <c r="J71" s="16"/>
      <c r="M71" s="25">
        <v>100</v>
      </c>
      <c r="N71" s="26"/>
      <c r="O71" s="27" t="s">
        <v>9</v>
      </c>
      <c r="P71" s="28"/>
      <c r="Q71" s="29">
        <v>5.1000000000000004E-3</v>
      </c>
      <c r="R71" s="30"/>
      <c r="S71" s="31" t="s">
        <v>8</v>
      </c>
      <c r="T71" s="32"/>
      <c r="U71" s="15"/>
      <c r="V71" s="16"/>
      <c r="Y71" s="25">
        <v>100</v>
      </c>
      <c r="Z71" s="26"/>
      <c r="AA71" s="27" t="s">
        <v>9</v>
      </c>
      <c r="AB71" s="28"/>
      <c r="AC71" s="49">
        <v>2.63E-2</v>
      </c>
      <c r="AD71" s="50"/>
      <c r="AE71" s="31" t="s">
        <v>8</v>
      </c>
      <c r="AF71" s="32"/>
      <c r="AG71" s="15"/>
      <c r="AH71" s="16"/>
    </row>
    <row r="72" spans="1:34" ht="15" thickTop="1" x14ac:dyDescent="0.3">
      <c r="A72" s="3">
        <v>1000</v>
      </c>
      <c r="B72" s="4"/>
      <c r="C72" s="43" t="s">
        <v>4</v>
      </c>
      <c r="D72" s="44"/>
      <c r="E72" s="7">
        <v>9.9999993999999995E-2</v>
      </c>
      <c r="F72" s="8"/>
      <c r="G72" s="9" t="s">
        <v>8</v>
      </c>
      <c r="H72" s="10"/>
      <c r="I72" s="11">
        <f t="shared" ref="I72" si="41">AVERAGE(E72:F76)</f>
        <v>0.19999999998000001</v>
      </c>
      <c r="J72" s="12"/>
      <c r="M72" s="3">
        <v>1000</v>
      </c>
      <c r="N72" s="4"/>
      <c r="O72" s="5" t="s">
        <v>9</v>
      </c>
      <c r="P72" s="6"/>
      <c r="Q72" s="7">
        <v>0.39300000000000002</v>
      </c>
      <c r="R72" s="8"/>
      <c r="S72" s="9" t="s">
        <v>8</v>
      </c>
      <c r="T72" s="10"/>
      <c r="U72" s="11">
        <f t="shared" ref="U72" si="42">AVERAGE(Q72:R76)</f>
        <v>0.37452000000000002</v>
      </c>
      <c r="V72" s="12"/>
      <c r="Y72" s="3">
        <v>1000</v>
      </c>
      <c r="Z72" s="4"/>
      <c r="AA72" s="5" t="s">
        <v>9</v>
      </c>
      <c r="AB72" s="6"/>
      <c r="AC72" s="59">
        <v>2.5373000000000001</v>
      </c>
      <c r="AD72" s="60"/>
      <c r="AE72" s="9" t="s">
        <v>8</v>
      </c>
      <c r="AF72" s="10"/>
      <c r="AG72" s="11">
        <f t="shared" ref="AG72" si="43">AVERAGE(AC72:AD76)</f>
        <v>2.4329200000000002</v>
      </c>
      <c r="AH72" s="12"/>
    </row>
    <row r="73" spans="1:34" x14ac:dyDescent="0.3">
      <c r="A73" s="17">
        <v>1000</v>
      </c>
      <c r="B73" s="18"/>
      <c r="C73" s="61" t="s">
        <v>4</v>
      </c>
      <c r="D73" s="62"/>
      <c r="E73" s="21">
        <v>0.20000001789999999</v>
      </c>
      <c r="F73" s="22"/>
      <c r="G73" s="23" t="s">
        <v>8</v>
      </c>
      <c r="H73" s="24"/>
      <c r="I73" s="13"/>
      <c r="J73" s="14"/>
      <c r="M73" s="17">
        <v>1000</v>
      </c>
      <c r="N73" s="18"/>
      <c r="O73" s="19" t="s">
        <v>9</v>
      </c>
      <c r="P73" s="20"/>
      <c r="Q73" s="21">
        <v>0.37419999999999998</v>
      </c>
      <c r="R73" s="22"/>
      <c r="S73" s="23" t="s">
        <v>8</v>
      </c>
      <c r="T73" s="24"/>
      <c r="U73" s="13"/>
      <c r="V73" s="14"/>
      <c r="Y73" s="17">
        <v>1000</v>
      </c>
      <c r="Z73" s="18"/>
      <c r="AA73" s="19" t="s">
        <v>9</v>
      </c>
      <c r="AB73" s="20"/>
      <c r="AC73" s="21">
        <v>2.4889999999999999</v>
      </c>
      <c r="AD73" s="22"/>
      <c r="AE73" s="23" t="s">
        <v>8</v>
      </c>
      <c r="AF73" s="24"/>
      <c r="AG73" s="13"/>
      <c r="AH73" s="14"/>
    </row>
    <row r="74" spans="1:34" x14ac:dyDescent="0.3">
      <c r="A74" s="17">
        <v>1000</v>
      </c>
      <c r="B74" s="18"/>
      <c r="C74" s="61" t="s">
        <v>4</v>
      </c>
      <c r="D74" s="62"/>
      <c r="E74" s="21">
        <v>0.29999998210000001</v>
      </c>
      <c r="F74" s="22"/>
      <c r="G74" s="23" t="s">
        <v>8</v>
      </c>
      <c r="H74" s="24"/>
      <c r="I74" s="13"/>
      <c r="J74" s="14"/>
      <c r="M74" s="17">
        <v>1000</v>
      </c>
      <c r="N74" s="18"/>
      <c r="O74" s="19" t="s">
        <v>9</v>
      </c>
      <c r="P74" s="20"/>
      <c r="Q74" s="21">
        <v>0.36959999999999998</v>
      </c>
      <c r="R74" s="22"/>
      <c r="S74" s="23" t="s">
        <v>8</v>
      </c>
      <c r="T74" s="24"/>
      <c r="U74" s="13"/>
      <c r="V74" s="14"/>
      <c r="Y74" s="17">
        <v>1000</v>
      </c>
      <c r="Z74" s="18"/>
      <c r="AA74" s="19" t="s">
        <v>9</v>
      </c>
      <c r="AB74" s="20"/>
      <c r="AC74" s="21">
        <v>2.3786999999999998</v>
      </c>
      <c r="AD74" s="22"/>
      <c r="AE74" s="23" t="s">
        <v>8</v>
      </c>
      <c r="AF74" s="24"/>
      <c r="AG74" s="13"/>
      <c r="AH74" s="14"/>
    </row>
    <row r="75" spans="1:34" x14ac:dyDescent="0.3">
      <c r="A75" s="17">
        <v>1000</v>
      </c>
      <c r="B75" s="18"/>
      <c r="C75" s="61" t="s">
        <v>4</v>
      </c>
      <c r="D75" s="62"/>
      <c r="E75" s="21">
        <v>9.9999993999999995E-2</v>
      </c>
      <c r="F75" s="22"/>
      <c r="G75" s="23" t="s">
        <v>8</v>
      </c>
      <c r="H75" s="24"/>
      <c r="I75" s="13"/>
      <c r="J75" s="14"/>
      <c r="M75" s="17">
        <v>1000</v>
      </c>
      <c r="N75" s="18"/>
      <c r="O75" s="19" t="s">
        <v>9</v>
      </c>
      <c r="P75" s="20"/>
      <c r="Q75" s="21">
        <v>0.3649</v>
      </c>
      <c r="R75" s="22"/>
      <c r="S75" s="23" t="s">
        <v>8</v>
      </c>
      <c r="T75" s="24"/>
      <c r="U75" s="13"/>
      <c r="V75" s="14"/>
      <c r="Y75" s="17">
        <v>1000</v>
      </c>
      <c r="Z75" s="18"/>
      <c r="AA75" s="19" t="s">
        <v>9</v>
      </c>
      <c r="AB75" s="20"/>
      <c r="AC75" s="21">
        <v>2.4451999999999998</v>
      </c>
      <c r="AD75" s="22"/>
      <c r="AE75" s="23" t="s">
        <v>8</v>
      </c>
      <c r="AF75" s="24"/>
      <c r="AG75" s="13"/>
      <c r="AH75" s="14"/>
    </row>
    <row r="76" spans="1:34" ht="15" thickBot="1" x14ac:dyDescent="0.35">
      <c r="A76" s="25">
        <v>1000</v>
      </c>
      <c r="B76" s="26"/>
      <c r="C76" s="63" t="s">
        <v>4</v>
      </c>
      <c r="D76" s="64"/>
      <c r="E76" s="29">
        <v>0.30000001189999997</v>
      </c>
      <c r="F76" s="30"/>
      <c r="G76" s="31" t="s">
        <v>8</v>
      </c>
      <c r="H76" s="32"/>
      <c r="I76" s="15"/>
      <c r="J76" s="16"/>
      <c r="M76" s="25">
        <v>1000</v>
      </c>
      <c r="N76" s="26"/>
      <c r="O76" s="27" t="s">
        <v>9</v>
      </c>
      <c r="P76" s="28"/>
      <c r="Q76" s="29">
        <v>0.37090000000000001</v>
      </c>
      <c r="R76" s="30"/>
      <c r="S76" s="31" t="s">
        <v>8</v>
      </c>
      <c r="T76" s="32"/>
      <c r="U76" s="15"/>
      <c r="V76" s="16"/>
      <c r="Y76" s="25">
        <v>1000</v>
      </c>
      <c r="Z76" s="26"/>
      <c r="AA76" s="27" t="s">
        <v>9</v>
      </c>
      <c r="AB76" s="28"/>
      <c r="AC76" s="29">
        <v>2.3144</v>
      </c>
      <c r="AD76" s="30"/>
      <c r="AE76" s="31" t="s">
        <v>8</v>
      </c>
      <c r="AF76" s="32"/>
      <c r="AG76" s="15"/>
      <c r="AH76" s="16"/>
    </row>
    <row r="77" spans="1:34" ht="15" thickTop="1" x14ac:dyDescent="0.3">
      <c r="A77" s="3">
        <v>10000</v>
      </c>
      <c r="B77" s="4"/>
      <c r="C77" s="43" t="s">
        <v>4</v>
      </c>
      <c r="D77" s="44"/>
      <c r="E77" s="7">
        <v>10.900000006000001</v>
      </c>
      <c r="F77" s="8"/>
      <c r="G77" s="9" t="s">
        <v>8</v>
      </c>
      <c r="H77" s="10"/>
      <c r="I77" s="11">
        <f t="shared" ref="I77" si="44">AVERAGE(E77:F81)</f>
        <v>10.800000005979999</v>
      </c>
      <c r="J77" s="12"/>
      <c r="M77" s="3">
        <v>10000</v>
      </c>
      <c r="N77" s="4"/>
      <c r="O77" s="5" t="s">
        <v>9</v>
      </c>
      <c r="P77" s="6"/>
      <c r="Q77" s="7">
        <v>36.145400000000002</v>
      </c>
      <c r="R77" s="8"/>
      <c r="S77" s="9" t="s">
        <v>8</v>
      </c>
      <c r="T77" s="10"/>
      <c r="U77" s="11">
        <f t="shared" ref="U77" si="45">AVERAGE(Q77:R81)</f>
        <v>37.016820000000003</v>
      </c>
      <c r="V77" s="12"/>
      <c r="Y77" s="3">
        <v>10000</v>
      </c>
      <c r="Z77" s="4"/>
      <c r="AA77" s="5" t="s">
        <v>9</v>
      </c>
      <c r="AB77" s="6"/>
      <c r="AC77" s="7">
        <v>202.25980000000001</v>
      </c>
      <c r="AD77" s="8"/>
      <c r="AE77" s="9" t="s">
        <v>8</v>
      </c>
      <c r="AF77" s="10"/>
      <c r="AG77" s="11">
        <f t="shared" ref="AG77" si="46">AVERAGE(AC77:AD81)</f>
        <v>186.52884</v>
      </c>
      <c r="AH77" s="12"/>
    </row>
    <row r="78" spans="1:34" x14ac:dyDescent="0.3">
      <c r="A78" s="17">
        <v>10000</v>
      </c>
      <c r="B78" s="18"/>
      <c r="C78" s="61" t="s">
        <v>4</v>
      </c>
      <c r="D78" s="62"/>
      <c r="E78" s="21">
        <v>10.700000017900001</v>
      </c>
      <c r="F78" s="22"/>
      <c r="G78" s="23" t="s">
        <v>8</v>
      </c>
      <c r="H78" s="24"/>
      <c r="I78" s="13"/>
      <c r="J78" s="14"/>
      <c r="M78" s="17">
        <v>10000</v>
      </c>
      <c r="N78" s="18"/>
      <c r="O78" s="19" t="s">
        <v>9</v>
      </c>
      <c r="P78" s="20"/>
      <c r="Q78" s="21">
        <v>41.5182</v>
      </c>
      <c r="R78" s="22"/>
      <c r="S78" s="23" t="s">
        <v>8</v>
      </c>
      <c r="T78" s="24"/>
      <c r="U78" s="13"/>
      <c r="V78" s="14"/>
      <c r="Y78" s="17">
        <v>10000</v>
      </c>
      <c r="Z78" s="18"/>
      <c r="AA78" s="19" t="s">
        <v>9</v>
      </c>
      <c r="AB78" s="20"/>
      <c r="AC78" s="21">
        <v>196.95050000000001</v>
      </c>
      <c r="AD78" s="22"/>
      <c r="AE78" s="23" t="s">
        <v>8</v>
      </c>
      <c r="AF78" s="24"/>
      <c r="AG78" s="13"/>
      <c r="AH78" s="14"/>
    </row>
    <row r="79" spans="1:34" x14ac:dyDescent="0.3">
      <c r="A79" s="17">
        <v>10000</v>
      </c>
      <c r="B79" s="18"/>
      <c r="C79" s="61" t="s">
        <v>4</v>
      </c>
      <c r="D79" s="62"/>
      <c r="E79" s="21">
        <v>10.6999999881</v>
      </c>
      <c r="F79" s="22"/>
      <c r="G79" s="23" t="s">
        <v>8</v>
      </c>
      <c r="H79" s="24"/>
      <c r="I79" s="13"/>
      <c r="J79" s="14"/>
      <c r="M79" s="17">
        <v>10000</v>
      </c>
      <c r="N79" s="18"/>
      <c r="O79" s="19" t="s">
        <v>9</v>
      </c>
      <c r="P79" s="20"/>
      <c r="Q79" s="21">
        <v>35.9221</v>
      </c>
      <c r="R79" s="22"/>
      <c r="S79" s="23" t="s">
        <v>8</v>
      </c>
      <c r="T79" s="24"/>
      <c r="U79" s="13"/>
      <c r="V79" s="14"/>
      <c r="Y79" s="17">
        <v>10000</v>
      </c>
      <c r="Z79" s="18"/>
      <c r="AA79" s="19" t="s">
        <v>9</v>
      </c>
      <c r="AB79" s="20"/>
      <c r="AC79" s="21">
        <v>172.6044</v>
      </c>
      <c r="AD79" s="22"/>
      <c r="AE79" s="23" t="s">
        <v>8</v>
      </c>
      <c r="AF79" s="24"/>
      <c r="AG79" s="13"/>
      <c r="AH79" s="14"/>
    </row>
    <row r="80" spans="1:34" x14ac:dyDescent="0.3">
      <c r="A80" s="17">
        <v>10000</v>
      </c>
      <c r="B80" s="18"/>
      <c r="C80" s="61" t="s">
        <v>4</v>
      </c>
      <c r="D80" s="62"/>
      <c r="E80" s="21">
        <v>11</v>
      </c>
      <c r="F80" s="22"/>
      <c r="G80" s="23" t="s">
        <v>8</v>
      </c>
      <c r="H80" s="24"/>
      <c r="I80" s="13"/>
      <c r="J80" s="14"/>
      <c r="M80" s="17">
        <v>10000</v>
      </c>
      <c r="N80" s="18"/>
      <c r="O80" s="19" t="s">
        <v>9</v>
      </c>
      <c r="P80" s="20"/>
      <c r="Q80" s="21">
        <v>36.3947</v>
      </c>
      <c r="R80" s="22"/>
      <c r="S80" s="23" t="s">
        <v>8</v>
      </c>
      <c r="T80" s="24"/>
      <c r="U80" s="13"/>
      <c r="V80" s="14"/>
      <c r="Y80" s="17">
        <v>10000</v>
      </c>
      <c r="Z80" s="18"/>
      <c r="AA80" s="19" t="s">
        <v>9</v>
      </c>
      <c r="AB80" s="20"/>
      <c r="AC80" s="21">
        <v>183.54949999999999</v>
      </c>
      <c r="AD80" s="22"/>
      <c r="AE80" s="23" t="s">
        <v>8</v>
      </c>
      <c r="AF80" s="24"/>
      <c r="AG80" s="13"/>
      <c r="AH80" s="14"/>
    </row>
    <row r="81" spans="1:34" ht="15" thickBot="1" x14ac:dyDescent="0.35">
      <c r="A81" s="65">
        <v>10000</v>
      </c>
      <c r="B81" s="66"/>
      <c r="C81" s="67" t="s">
        <v>4</v>
      </c>
      <c r="D81" s="68"/>
      <c r="E81" s="69">
        <v>10.700000017900001</v>
      </c>
      <c r="F81" s="70"/>
      <c r="G81" s="71" t="s">
        <v>8</v>
      </c>
      <c r="H81" s="75"/>
      <c r="I81" s="15"/>
      <c r="J81" s="16"/>
      <c r="M81" s="65">
        <v>10000</v>
      </c>
      <c r="N81" s="66"/>
      <c r="O81" s="76" t="s">
        <v>9</v>
      </c>
      <c r="P81" s="77"/>
      <c r="Q81" s="69">
        <v>35.103700000000003</v>
      </c>
      <c r="R81" s="70"/>
      <c r="S81" s="71" t="s">
        <v>8</v>
      </c>
      <c r="T81" s="72"/>
      <c r="U81" s="15"/>
      <c r="V81" s="16"/>
      <c r="Y81" s="65">
        <v>10000</v>
      </c>
      <c r="Z81" s="66"/>
      <c r="AA81" s="76" t="s">
        <v>9</v>
      </c>
      <c r="AB81" s="77"/>
      <c r="AC81" s="55">
        <v>177.28</v>
      </c>
      <c r="AD81" s="81"/>
      <c r="AE81" s="71" t="s">
        <v>8</v>
      </c>
      <c r="AF81" s="72"/>
      <c r="AG81" s="15"/>
      <c r="AH81" s="16"/>
    </row>
    <row r="82" spans="1:34" ht="15" thickTop="1" x14ac:dyDescent="0.3">
      <c r="A82" s="51">
        <v>10</v>
      </c>
      <c r="B82" s="52"/>
      <c r="C82" s="57" t="s">
        <v>4</v>
      </c>
      <c r="D82" s="58"/>
      <c r="E82" s="59">
        <v>0</v>
      </c>
      <c r="F82" s="60"/>
      <c r="G82" s="53" t="s">
        <v>11</v>
      </c>
      <c r="H82" s="54"/>
      <c r="I82" s="11">
        <f t="shared" ref="I82" si="47">AVERAGE(E82:F86)</f>
        <v>0</v>
      </c>
      <c r="J82" s="12"/>
      <c r="M82" s="51">
        <v>10</v>
      </c>
      <c r="N82" s="52"/>
      <c r="O82" s="57" t="s">
        <v>9</v>
      </c>
      <c r="P82" s="58"/>
      <c r="Q82" s="59">
        <v>5.9999999999999995E-4</v>
      </c>
      <c r="R82" s="60"/>
      <c r="S82" s="53" t="s">
        <v>11</v>
      </c>
      <c r="T82" s="54"/>
      <c r="U82" s="11">
        <f t="shared" ref="U82" si="48">AVERAGE(Q82:R86)</f>
        <v>5.5999999999999995E-4</v>
      </c>
      <c r="V82" s="12"/>
      <c r="Y82" s="51">
        <v>10</v>
      </c>
      <c r="Z82" s="52"/>
      <c r="AA82" s="57" t="s">
        <v>9</v>
      </c>
      <c r="AB82" s="58"/>
      <c r="AC82" s="78">
        <v>1.2999999999999999E-3</v>
      </c>
      <c r="AD82" s="79"/>
      <c r="AE82" s="53" t="s">
        <v>11</v>
      </c>
      <c r="AF82" s="54"/>
      <c r="AG82" s="11">
        <f t="shared" ref="AG82" si="49">AVERAGE(AC82:AD86)</f>
        <v>1.2400000000000002E-3</v>
      </c>
      <c r="AH82" s="12"/>
    </row>
    <row r="83" spans="1:34" x14ac:dyDescent="0.3">
      <c r="A83" s="17">
        <v>10</v>
      </c>
      <c r="B83" s="18"/>
      <c r="C83" s="19" t="s">
        <v>4</v>
      </c>
      <c r="D83" s="20"/>
      <c r="E83" s="21">
        <v>0</v>
      </c>
      <c r="F83" s="22"/>
      <c r="G83" s="23" t="s">
        <v>11</v>
      </c>
      <c r="H83" s="24"/>
      <c r="I83" s="13"/>
      <c r="J83" s="14"/>
      <c r="M83" s="17">
        <v>10</v>
      </c>
      <c r="N83" s="18"/>
      <c r="O83" s="19" t="s">
        <v>9</v>
      </c>
      <c r="P83" s="20"/>
      <c r="Q83" s="21">
        <v>5.9999999999999995E-4</v>
      </c>
      <c r="R83" s="22"/>
      <c r="S83" s="23" t="s">
        <v>11</v>
      </c>
      <c r="T83" s="24"/>
      <c r="U83" s="13"/>
      <c r="V83" s="14"/>
      <c r="Y83" s="17">
        <v>10</v>
      </c>
      <c r="Z83" s="18"/>
      <c r="AA83" s="19" t="s">
        <v>9</v>
      </c>
      <c r="AB83" s="20"/>
      <c r="AC83" s="47">
        <v>2.2000000000000001E-3</v>
      </c>
      <c r="AD83" s="48"/>
      <c r="AE83" s="23" t="s">
        <v>11</v>
      </c>
      <c r="AF83" s="24"/>
      <c r="AG83" s="13"/>
      <c r="AH83" s="14"/>
    </row>
    <row r="84" spans="1:34" x14ac:dyDescent="0.3">
      <c r="A84" s="17">
        <v>10</v>
      </c>
      <c r="B84" s="18"/>
      <c r="C84" s="19" t="s">
        <v>4</v>
      </c>
      <c r="D84" s="20"/>
      <c r="E84" s="21">
        <v>0</v>
      </c>
      <c r="F84" s="22"/>
      <c r="G84" s="23" t="s">
        <v>11</v>
      </c>
      <c r="H84" s="24"/>
      <c r="I84" s="13"/>
      <c r="J84" s="14"/>
      <c r="M84" s="17">
        <v>10</v>
      </c>
      <c r="N84" s="18"/>
      <c r="O84" s="19" t="s">
        <v>9</v>
      </c>
      <c r="P84" s="20"/>
      <c r="Q84" s="21">
        <v>5.9999999999999995E-4</v>
      </c>
      <c r="R84" s="22"/>
      <c r="S84" s="23" t="s">
        <v>11</v>
      </c>
      <c r="T84" s="24"/>
      <c r="U84" s="13"/>
      <c r="V84" s="14"/>
      <c r="Y84" s="17">
        <v>10</v>
      </c>
      <c r="Z84" s="18"/>
      <c r="AA84" s="19" t="s">
        <v>9</v>
      </c>
      <c r="AB84" s="20"/>
      <c r="AC84" s="47">
        <v>1.1999999999999999E-3</v>
      </c>
      <c r="AD84" s="48"/>
      <c r="AE84" s="23" t="s">
        <v>11</v>
      </c>
      <c r="AF84" s="24"/>
      <c r="AG84" s="13"/>
      <c r="AH84" s="14"/>
    </row>
    <row r="85" spans="1:34" x14ac:dyDescent="0.3">
      <c r="A85" s="17">
        <v>10</v>
      </c>
      <c r="B85" s="18"/>
      <c r="C85" s="19" t="s">
        <v>4</v>
      </c>
      <c r="D85" s="20"/>
      <c r="E85" s="21">
        <v>0</v>
      </c>
      <c r="F85" s="22"/>
      <c r="G85" s="23" t="s">
        <v>11</v>
      </c>
      <c r="H85" s="24"/>
      <c r="I85" s="13"/>
      <c r="J85" s="14"/>
      <c r="M85" s="17">
        <v>10</v>
      </c>
      <c r="N85" s="18"/>
      <c r="O85" s="19" t="s">
        <v>9</v>
      </c>
      <c r="P85" s="20"/>
      <c r="Q85" s="21">
        <v>5.0000000000000001E-4</v>
      </c>
      <c r="R85" s="22"/>
      <c r="S85" s="23" t="s">
        <v>11</v>
      </c>
      <c r="T85" s="24"/>
      <c r="U85" s="13"/>
      <c r="V85" s="14"/>
      <c r="Y85" s="17">
        <v>10</v>
      </c>
      <c r="Z85" s="18"/>
      <c r="AA85" s="19" t="s">
        <v>9</v>
      </c>
      <c r="AB85" s="20"/>
      <c r="AC85" s="47">
        <v>8.0000000000000004E-4</v>
      </c>
      <c r="AD85" s="48"/>
      <c r="AE85" s="23" t="s">
        <v>11</v>
      </c>
      <c r="AF85" s="24"/>
      <c r="AG85" s="13"/>
      <c r="AH85" s="14"/>
    </row>
    <row r="86" spans="1:34" ht="15" thickBot="1" x14ac:dyDescent="0.35">
      <c r="A86" s="25">
        <v>10</v>
      </c>
      <c r="B86" s="26"/>
      <c r="C86" s="27" t="s">
        <v>4</v>
      </c>
      <c r="D86" s="28"/>
      <c r="E86" s="49">
        <v>0</v>
      </c>
      <c r="F86" s="50"/>
      <c r="G86" s="31" t="s">
        <v>11</v>
      </c>
      <c r="H86" s="32"/>
      <c r="I86" s="15"/>
      <c r="J86" s="16"/>
      <c r="M86" s="25">
        <v>10</v>
      </c>
      <c r="N86" s="26"/>
      <c r="O86" s="27" t="s">
        <v>9</v>
      </c>
      <c r="P86" s="28"/>
      <c r="Q86" s="49">
        <v>5.0000000000000001E-4</v>
      </c>
      <c r="R86" s="50"/>
      <c r="S86" s="31" t="s">
        <v>11</v>
      </c>
      <c r="T86" s="32"/>
      <c r="U86" s="15"/>
      <c r="V86" s="16"/>
      <c r="Y86" s="25">
        <v>10</v>
      </c>
      <c r="Z86" s="26"/>
      <c r="AA86" s="27" t="s">
        <v>9</v>
      </c>
      <c r="AB86" s="28"/>
      <c r="AC86" s="49">
        <v>6.9999999999999999E-4</v>
      </c>
      <c r="AD86" s="50"/>
      <c r="AE86" s="31" t="s">
        <v>11</v>
      </c>
      <c r="AF86" s="32"/>
      <c r="AG86" s="15"/>
      <c r="AH86" s="16"/>
    </row>
    <row r="87" spans="1:34" ht="15" thickTop="1" x14ac:dyDescent="0.3">
      <c r="A87" s="51">
        <v>100</v>
      </c>
      <c r="B87" s="52"/>
      <c r="C87" s="5" t="s">
        <v>4</v>
      </c>
      <c r="D87" s="6"/>
      <c r="E87" s="59">
        <v>0</v>
      </c>
      <c r="F87" s="60"/>
      <c r="G87" s="53" t="s">
        <v>11</v>
      </c>
      <c r="H87" s="54"/>
      <c r="I87" s="11">
        <f t="shared" ref="I87" si="50">AVERAGE(E87:F91)</f>
        <v>0</v>
      </c>
      <c r="J87" s="12"/>
      <c r="M87" s="51">
        <v>100</v>
      </c>
      <c r="N87" s="52"/>
      <c r="O87" s="5" t="s">
        <v>9</v>
      </c>
      <c r="P87" s="6"/>
      <c r="Q87" s="59">
        <v>1.66E-2</v>
      </c>
      <c r="R87" s="60"/>
      <c r="S87" s="53" t="s">
        <v>11</v>
      </c>
      <c r="T87" s="54"/>
      <c r="U87" s="11">
        <f t="shared" ref="U87" si="51">AVERAGE(Q87:R91)</f>
        <v>1.704E-2</v>
      </c>
      <c r="V87" s="12"/>
      <c r="Y87" s="51">
        <v>100</v>
      </c>
      <c r="Z87" s="52"/>
      <c r="AA87" s="5" t="s">
        <v>9</v>
      </c>
      <c r="AB87" s="6"/>
      <c r="AC87" s="59">
        <v>0.11899999999999999</v>
      </c>
      <c r="AD87" s="60"/>
      <c r="AE87" s="53" t="s">
        <v>11</v>
      </c>
      <c r="AF87" s="54"/>
      <c r="AG87" s="11">
        <f t="shared" ref="AG87" si="52">AVERAGE(AC87:AD91)</f>
        <v>8.0299999999999996E-2</v>
      </c>
      <c r="AH87" s="12"/>
    </row>
    <row r="88" spans="1:34" x14ac:dyDescent="0.3">
      <c r="A88" s="17">
        <v>100</v>
      </c>
      <c r="B88" s="18"/>
      <c r="C88" s="19" t="s">
        <v>4</v>
      </c>
      <c r="D88" s="20"/>
      <c r="E88" s="21">
        <v>0</v>
      </c>
      <c r="F88" s="22"/>
      <c r="G88" s="23" t="s">
        <v>11</v>
      </c>
      <c r="H88" s="24"/>
      <c r="I88" s="13"/>
      <c r="J88" s="14"/>
      <c r="M88" s="17">
        <v>100</v>
      </c>
      <c r="N88" s="18"/>
      <c r="O88" s="19" t="s">
        <v>9</v>
      </c>
      <c r="P88" s="20"/>
      <c r="Q88" s="21">
        <v>1.77E-2</v>
      </c>
      <c r="R88" s="22"/>
      <c r="S88" s="23" t="s">
        <v>11</v>
      </c>
      <c r="T88" s="24"/>
      <c r="U88" s="13"/>
      <c r="V88" s="14"/>
      <c r="Y88" s="17">
        <v>100</v>
      </c>
      <c r="Z88" s="18"/>
      <c r="AA88" s="19" t="s">
        <v>9</v>
      </c>
      <c r="AB88" s="20"/>
      <c r="AC88" s="21">
        <v>8.0500000000000002E-2</v>
      </c>
      <c r="AD88" s="22"/>
      <c r="AE88" s="23" t="s">
        <v>11</v>
      </c>
      <c r="AF88" s="24"/>
      <c r="AG88" s="13"/>
      <c r="AH88" s="14"/>
    </row>
    <row r="89" spans="1:34" x14ac:dyDescent="0.3">
      <c r="A89" s="17">
        <v>100</v>
      </c>
      <c r="B89" s="18"/>
      <c r="C89" s="19" t="s">
        <v>4</v>
      </c>
      <c r="D89" s="20"/>
      <c r="E89" s="21">
        <v>0</v>
      </c>
      <c r="F89" s="22"/>
      <c r="G89" s="23" t="s">
        <v>11</v>
      </c>
      <c r="H89" s="24"/>
      <c r="I89" s="13"/>
      <c r="J89" s="14"/>
      <c r="M89" s="17">
        <v>100</v>
      </c>
      <c r="N89" s="18"/>
      <c r="O89" s="19" t="s">
        <v>9</v>
      </c>
      <c r="P89" s="20"/>
      <c r="Q89" s="21">
        <v>1.7999999999999999E-2</v>
      </c>
      <c r="R89" s="22"/>
      <c r="S89" s="23" t="s">
        <v>11</v>
      </c>
      <c r="T89" s="24"/>
      <c r="U89" s="13"/>
      <c r="V89" s="14"/>
      <c r="Y89" s="17">
        <v>100</v>
      </c>
      <c r="Z89" s="18"/>
      <c r="AA89" s="19" t="s">
        <v>9</v>
      </c>
      <c r="AB89" s="20"/>
      <c r="AC89" s="21">
        <v>6.9500000000000006E-2</v>
      </c>
      <c r="AD89" s="22"/>
      <c r="AE89" s="23" t="s">
        <v>11</v>
      </c>
      <c r="AF89" s="24"/>
      <c r="AG89" s="13"/>
      <c r="AH89" s="14"/>
    </row>
    <row r="90" spans="1:34" x14ac:dyDescent="0.3">
      <c r="A90" s="17">
        <v>100</v>
      </c>
      <c r="B90" s="18"/>
      <c r="C90" s="19" t="s">
        <v>4</v>
      </c>
      <c r="D90" s="20"/>
      <c r="E90" s="21">
        <v>0</v>
      </c>
      <c r="F90" s="22"/>
      <c r="G90" s="23" t="s">
        <v>11</v>
      </c>
      <c r="H90" s="24"/>
      <c r="I90" s="13"/>
      <c r="J90" s="14"/>
      <c r="M90" s="17">
        <v>100</v>
      </c>
      <c r="N90" s="18"/>
      <c r="O90" s="19" t="s">
        <v>9</v>
      </c>
      <c r="P90" s="20"/>
      <c r="Q90" s="21">
        <v>1.61E-2</v>
      </c>
      <c r="R90" s="22"/>
      <c r="S90" s="23" t="s">
        <v>11</v>
      </c>
      <c r="T90" s="24"/>
      <c r="U90" s="13"/>
      <c r="V90" s="14"/>
      <c r="Y90" s="17">
        <v>100</v>
      </c>
      <c r="Z90" s="18"/>
      <c r="AA90" s="19" t="s">
        <v>9</v>
      </c>
      <c r="AB90" s="20"/>
      <c r="AC90" s="21">
        <v>6.7699999999999996E-2</v>
      </c>
      <c r="AD90" s="22"/>
      <c r="AE90" s="23" t="s">
        <v>11</v>
      </c>
      <c r="AF90" s="24"/>
      <c r="AG90" s="13"/>
      <c r="AH90" s="14"/>
    </row>
    <row r="91" spans="1:34" ht="15" thickBot="1" x14ac:dyDescent="0.35">
      <c r="A91" s="25">
        <v>100</v>
      </c>
      <c r="B91" s="26"/>
      <c r="C91" s="27" t="s">
        <v>4</v>
      </c>
      <c r="D91" s="28"/>
      <c r="E91" s="29">
        <v>0</v>
      </c>
      <c r="F91" s="30"/>
      <c r="G91" s="31" t="s">
        <v>11</v>
      </c>
      <c r="H91" s="32"/>
      <c r="I91" s="15"/>
      <c r="J91" s="16"/>
      <c r="M91" s="25">
        <v>100</v>
      </c>
      <c r="N91" s="26"/>
      <c r="O91" s="27" t="s">
        <v>9</v>
      </c>
      <c r="P91" s="28"/>
      <c r="Q91" s="29">
        <v>1.6799999999999999E-2</v>
      </c>
      <c r="R91" s="30"/>
      <c r="S91" s="31" t="s">
        <v>11</v>
      </c>
      <c r="T91" s="32"/>
      <c r="U91" s="15"/>
      <c r="V91" s="16"/>
      <c r="Y91" s="25">
        <v>100</v>
      </c>
      <c r="Z91" s="26"/>
      <c r="AA91" s="27" t="s">
        <v>9</v>
      </c>
      <c r="AB91" s="28"/>
      <c r="AC91" s="29">
        <v>6.4799999999999996E-2</v>
      </c>
      <c r="AD91" s="30"/>
      <c r="AE91" s="31" t="s">
        <v>11</v>
      </c>
      <c r="AF91" s="32"/>
      <c r="AG91" s="15"/>
      <c r="AH91" s="16"/>
    </row>
    <row r="92" spans="1:34" ht="15" thickTop="1" x14ac:dyDescent="0.3">
      <c r="A92" s="3">
        <v>1000</v>
      </c>
      <c r="B92" s="4"/>
      <c r="C92" s="5" t="s">
        <v>4</v>
      </c>
      <c r="D92" s="6"/>
      <c r="E92" s="7">
        <v>0.69999999930000001</v>
      </c>
      <c r="F92" s="8"/>
      <c r="G92" s="9" t="s">
        <v>11</v>
      </c>
      <c r="H92" s="10"/>
      <c r="I92" s="11">
        <f t="shared" ref="I92" si="53">AVERAGE(E92:F96)</f>
        <v>0.7799999997</v>
      </c>
      <c r="J92" s="12"/>
      <c r="M92" s="3">
        <v>1000</v>
      </c>
      <c r="N92" s="4"/>
      <c r="O92" s="5" t="s">
        <v>9</v>
      </c>
      <c r="P92" s="6"/>
      <c r="Q92" s="7">
        <v>1.1881999999999999</v>
      </c>
      <c r="R92" s="8"/>
      <c r="S92" s="9" t="s">
        <v>11</v>
      </c>
      <c r="T92" s="10"/>
      <c r="U92" s="11">
        <f t="shared" ref="U92" si="54">AVERAGE(Q92:R96)</f>
        <v>1.23004</v>
      </c>
      <c r="V92" s="12"/>
      <c r="Y92" s="3">
        <v>1000</v>
      </c>
      <c r="Z92" s="4"/>
      <c r="AA92" s="5" t="s">
        <v>9</v>
      </c>
      <c r="AB92" s="6"/>
      <c r="AC92" s="7">
        <v>6.4081999999999999</v>
      </c>
      <c r="AD92" s="8"/>
      <c r="AE92" s="9" t="s">
        <v>11</v>
      </c>
      <c r="AF92" s="10"/>
      <c r="AG92" s="11">
        <f t="shared" ref="AG92" si="55">AVERAGE(AC92:AD96)</f>
        <v>6.3502200000000002</v>
      </c>
      <c r="AH92" s="12"/>
    </row>
    <row r="93" spans="1:34" x14ac:dyDescent="0.3">
      <c r="A93" s="17">
        <v>1000</v>
      </c>
      <c r="B93" s="18"/>
      <c r="C93" s="19" t="s">
        <v>4</v>
      </c>
      <c r="D93" s="20"/>
      <c r="E93" s="21">
        <v>0.60000000149999999</v>
      </c>
      <c r="F93" s="22"/>
      <c r="G93" s="23" t="s">
        <v>11</v>
      </c>
      <c r="H93" s="24"/>
      <c r="I93" s="13"/>
      <c r="J93" s="14"/>
      <c r="M93" s="17">
        <v>1000</v>
      </c>
      <c r="N93" s="18"/>
      <c r="O93" s="19" t="s">
        <v>9</v>
      </c>
      <c r="P93" s="20"/>
      <c r="Q93" s="21">
        <v>1.1880999999999999</v>
      </c>
      <c r="R93" s="22"/>
      <c r="S93" s="23" t="s">
        <v>11</v>
      </c>
      <c r="T93" s="24"/>
      <c r="U93" s="13"/>
      <c r="V93" s="14"/>
      <c r="Y93" s="17">
        <v>1000</v>
      </c>
      <c r="Z93" s="18"/>
      <c r="AA93" s="19" t="s">
        <v>9</v>
      </c>
      <c r="AB93" s="20"/>
      <c r="AC93" s="21">
        <v>6.4039999999999999</v>
      </c>
      <c r="AD93" s="22"/>
      <c r="AE93" s="23" t="s">
        <v>11</v>
      </c>
      <c r="AF93" s="24"/>
      <c r="AG93" s="13"/>
      <c r="AH93" s="14"/>
    </row>
    <row r="94" spans="1:34" x14ac:dyDescent="0.3">
      <c r="A94" s="17">
        <v>1000</v>
      </c>
      <c r="B94" s="18"/>
      <c r="C94" s="19" t="s">
        <v>4</v>
      </c>
      <c r="D94" s="20"/>
      <c r="E94" s="21">
        <v>0.89999999850000001</v>
      </c>
      <c r="F94" s="22"/>
      <c r="G94" s="23" t="s">
        <v>11</v>
      </c>
      <c r="H94" s="24"/>
      <c r="I94" s="13"/>
      <c r="J94" s="14"/>
      <c r="M94" s="17">
        <v>1000</v>
      </c>
      <c r="N94" s="18"/>
      <c r="O94" s="19" t="s">
        <v>9</v>
      </c>
      <c r="P94" s="20"/>
      <c r="Q94" s="21">
        <v>1.1414</v>
      </c>
      <c r="R94" s="22"/>
      <c r="S94" s="23" t="s">
        <v>11</v>
      </c>
      <c r="T94" s="24"/>
      <c r="U94" s="13"/>
      <c r="V94" s="14"/>
      <c r="Y94" s="17">
        <v>1000</v>
      </c>
      <c r="Z94" s="18"/>
      <c r="AA94" s="19" t="s">
        <v>9</v>
      </c>
      <c r="AB94" s="20"/>
      <c r="AC94" s="21">
        <v>6.1835000000000004</v>
      </c>
      <c r="AD94" s="22"/>
      <c r="AE94" s="23" t="s">
        <v>11</v>
      </c>
      <c r="AF94" s="24"/>
      <c r="AG94" s="13"/>
      <c r="AH94" s="14"/>
    </row>
    <row r="95" spans="1:34" x14ac:dyDescent="0.3">
      <c r="A95" s="17">
        <v>1000</v>
      </c>
      <c r="B95" s="18"/>
      <c r="C95" s="19" t="s">
        <v>4</v>
      </c>
      <c r="D95" s="20"/>
      <c r="E95" s="21">
        <v>0.80000000069999999</v>
      </c>
      <c r="F95" s="22"/>
      <c r="G95" s="23" t="s">
        <v>11</v>
      </c>
      <c r="H95" s="24"/>
      <c r="I95" s="13"/>
      <c r="J95" s="14"/>
      <c r="M95" s="17">
        <v>1000</v>
      </c>
      <c r="N95" s="18"/>
      <c r="O95" s="19" t="s">
        <v>9</v>
      </c>
      <c r="P95" s="20"/>
      <c r="Q95" s="21">
        <v>1.3216000000000001</v>
      </c>
      <c r="R95" s="22"/>
      <c r="S95" s="23" t="s">
        <v>11</v>
      </c>
      <c r="T95" s="24"/>
      <c r="U95" s="13"/>
      <c r="V95" s="14"/>
      <c r="Y95" s="17">
        <v>1000</v>
      </c>
      <c r="Z95" s="18"/>
      <c r="AA95" s="19" t="s">
        <v>9</v>
      </c>
      <c r="AB95" s="20"/>
      <c r="AC95" s="21">
        <v>6.8066000000000004</v>
      </c>
      <c r="AD95" s="22"/>
      <c r="AE95" s="23" t="s">
        <v>11</v>
      </c>
      <c r="AF95" s="24"/>
      <c r="AG95" s="13"/>
      <c r="AH95" s="14"/>
    </row>
    <row r="96" spans="1:34" ht="15" thickBot="1" x14ac:dyDescent="0.35">
      <c r="A96" s="25">
        <v>1000</v>
      </c>
      <c r="B96" s="26"/>
      <c r="C96" s="27" t="s">
        <v>4</v>
      </c>
      <c r="D96" s="28"/>
      <c r="E96" s="29">
        <v>0.89999999850000001</v>
      </c>
      <c r="F96" s="30"/>
      <c r="G96" s="31" t="s">
        <v>11</v>
      </c>
      <c r="H96" s="32"/>
      <c r="I96" s="15"/>
      <c r="J96" s="16"/>
      <c r="M96" s="25">
        <v>1000</v>
      </c>
      <c r="N96" s="26"/>
      <c r="O96" s="27" t="s">
        <v>9</v>
      </c>
      <c r="P96" s="28"/>
      <c r="Q96" s="29">
        <v>1.3109</v>
      </c>
      <c r="R96" s="30"/>
      <c r="S96" s="31" t="s">
        <v>11</v>
      </c>
      <c r="T96" s="32"/>
      <c r="U96" s="15"/>
      <c r="V96" s="16"/>
      <c r="Y96" s="25">
        <v>1000</v>
      </c>
      <c r="Z96" s="26"/>
      <c r="AA96" s="27" t="s">
        <v>9</v>
      </c>
      <c r="AB96" s="28"/>
      <c r="AC96" s="29">
        <v>5.9488000000000003</v>
      </c>
      <c r="AD96" s="30"/>
      <c r="AE96" s="31" t="s">
        <v>11</v>
      </c>
      <c r="AF96" s="32"/>
      <c r="AG96" s="15"/>
      <c r="AH96" s="16"/>
    </row>
    <row r="97" spans="1:34" ht="14.25" customHeight="1" thickTop="1" x14ac:dyDescent="0.3">
      <c r="A97" s="3">
        <v>10000</v>
      </c>
      <c r="B97" s="4"/>
      <c r="C97" s="5" t="s">
        <v>4</v>
      </c>
      <c r="D97" s="6"/>
      <c r="E97" s="7">
        <v>103.3000000007</v>
      </c>
      <c r="F97" s="8"/>
      <c r="G97" s="9" t="s">
        <v>11</v>
      </c>
      <c r="H97" s="10"/>
      <c r="I97" s="11">
        <f t="shared" ref="I97" si="56">AVERAGE(E97:F101)</f>
        <v>91.140000000579988</v>
      </c>
      <c r="J97" s="12"/>
      <c r="M97" s="3">
        <v>10000</v>
      </c>
      <c r="N97" s="4"/>
      <c r="O97" s="5" t="s">
        <v>9</v>
      </c>
      <c r="P97" s="6"/>
      <c r="Q97" s="7">
        <v>230.12430000000001</v>
      </c>
      <c r="R97" s="8"/>
      <c r="S97" s="9" t="s">
        <v>11</v>
      </c>
      <c r="T97" s="10"/>
      <c r="U97" s="11">
        <f t="shared" ref="U97" si="57">AVERAGE(Q97:R101)</f>
        <v>239.94793999999996</v>
      </c>
      <c r="V97" s="12"/>
      <c r="Y97" s="3">
        <v>10000</v>
      </c>
      <c r="Z97" s="4"/>
      <c r="AA97" s="5" t="s">
        <v>9</v>
      </c>
      <c r="AB97" s="6"/>
      <c r="AC97" s="7">
        <v>692.85109999999997</v>
      </c>
      <c r="AD97" s="8"/>
      <c r="AE97" s="9" t="s">
        <v>11</v>
      </c>
      <c r="AF97" s="10"/>
      <c r="AG97" s="11">
        <f t="shared" ref="AG97" si="58">AVERAGE(AC97:AD101)</f>
        <v>727.31901999999991</v>
      </c>
      <c r="AH97" s="12"/>
    </row>
    <row r="98" spans="1:34" x14ac:dyDescent="0.3">
      <c r="A98" s="17">
        <v>10000</v>
      </c>
      <c r="B98" s="18"/>
      <c r="C98" s="19" t="s">
        <v>4</v>
      </c>
      <c r="D98" s="20"/>
      <c r="E98" s="21">
        <v>84.600000001500007</v>
      </c>
      <c r="F98" s="22"/>
      <c r="G98" s="23" t="s">
        <v>11</v>
      </c>
      <c r="H98" s="24"/>
      <c r="I98" s="13"/>
      <c r="J98" s="14"/>
      <c r="M98" s="17">
        <v>10000</v>
      </c>
      <c r="N98" s="18"/>
      <c r="O98" s="19" t="s">
        <v>9</v>
      </c>
      <c r="P98" s="20"/>
      <c r="Q98" s="21">
        <v>252.3948</v>
      </c>
      <c r="R98" s="22"/>
      <c r="S98" s="23" t="s">
        <v>11</v>
      </c>
      <c r="T98" s="24"/>
      <c r="U98" s="13"/>
      <c r="V98" s="14"/>
      <c r="Y98" s="17">
        <v>10000</v>
      </c>
      <c r="Z98" s="18"/>
      <c r="AA98" s="19" t="s">
        <v>9</v>
      </c>
      <c r="AB98" s="20"/>
      <c r="AC98" s="21">
        <v>716.27139999999997</v>
      </c>
      <c r="AD98" s="22"/>
      <c r="AE98" s="23" t="s">
        <v>11</v>
      </c>
      <c r="AF98" s="24"/>
      <c r="AG98" s="13"/>
      <c r="AH98" s="14"/>
    </row>
    <row r="99" spans="1:34" x14ac:dyDescent="0.3">
      <c r="A99" s="17">
        <v>10000</v>
      </c>
      <c r="B99" s="18"/>
      <c r="C99" s="19" t="s">
        <v>4</v>
      </c>
      <c r="D99" s="20"/>
      <c r="E99" s="21">
        <v>87</v>
      </c>
      <c r="F99" s="22"/>
      <c r="G99" s="23" t="s">
        <v>11</v>
      </c>
      <c r="H99" s="24"/>
      <c r="I99" s="13"/>
      <c r="J99" s="14"/>
      <c r="M99" s="17">
        <v>10000</v>
      </c>
      <c r="N99" s="18"/>
      <c r="O99" s="19" t="s">
        <v>9</v>
      </c>
      <c r="P99" s="20"/>
      <c r="Q99" s="21">
        <v>243.85149999999999</v>
      </c>
      <c r="R99" s="22"/>
      <c r="S99" s="23" t="s">
        <v>11</v>
      </c>
      <c r="T99" s="24"/>
      <c r="U99" s="13"/>
      <c r="V99" s="14"/>
      <c r="Y99" s="17">
        <v>10000</v>
      </c>
      <c r="Z99" s="18"/>
      <c r="AA99" s="19" t="s">
        <v>9</v>
      </c>
      <c r="AB99" s="20"/>
      <c r="AC99" s="21">
        <v>721.22540000000004</v>
      </c>
      <c r="AD99" s="22"/>
      <c r="AE99" s="23" t="s">
        <v>11</v>
      </c>
      <c r="AF99" s="24"/>
      <c r="AG99" s="13"/>
      <c r="AH99" s="14"/>
    </row>
    <row r="100" spans="1:34" x14ac:dyDescent="0.3">
      <c r="A100" s="17">
        <v>10000</v>
      </c>
      <c r="B100" s="18"/>
      <c r="C100" s="19" t="s">
        <v>4</v>
      </c>
      <c r="D100" s="20"/>
      <c r="E100" s="21">
        <v>90</v>
      </c>
      <c r="F100" s="22"/>
      <c r="G100" s="23" t="s">
        <v>11</v>
      </c>
      <c r="H100" s="24"/>
      <c r="I100" s="13"/>
      <c r="J100" s="14"/>
      <c r="M100" s="17">
        <v>10000</v>
      </c>
      <c r="N100" s="18"/>
      <c r="O100" s="19" t="s">
        <v>9</v>
      </c>
      <c r="P100" s="20"/>
      <c r="Q100" s="21">
        <v>243.85149999999999</v>
      </c>
      <c r="R100" s="22"/>
      <c r="S100" s="23" t="s">
        <v>11</v>
      </c>
      <c r="T100" s="24"/>
      <c r="U100" s="13"/>
      <c r="V100" s="14"/>
      <c r="Y100" s="17">
        <v>10000</v>
      </c>
      <c r="Z100" s="18"/>
      <c r="AA100" s="19" t="s">
        <v>9</v>
      </c>
      <c r="AB100" s="20"/>
      <c r="AC100" s="21">
        <v>720.84749999999997</v>
      </c>
      <c r="AD100" s="22"/>
      <c r="AE100" s="23" t="s">
        <v>11</v>
      </c>
      <c r="AF100" s="24"/>
      <c r="AG100" s="13"/>
      <c r="AH100" s="14"/>
    </row>
    <row r="101" spans="1:34" ht="15" thickBot="1" x14ac:dyDescent="0.35">
      <c r="A101" s="65">
        <v>10000</v>
      </c>
      <c r="B101" s="66"/>
      <c r="C101" s="76" t="s">
        <v>4</v>
      </c>
      <c r="D101" s="77"/>
      <c r="E101" s="69">
        <v>90.800000000699995</v>
      </c>
      <c r="F101" s="70"/>
      <c r="G101" s="71" t="s">
        <v>11</v>
      </c>
      <c r="H101" s="72"/>
      <c r="I101" s="15"/>
      <c r="J101" s="16"/>
      <c r="M101" s="65">
        <v>10000</v>
      </c>
      <c r="N101" s="66"/>
      <c r="O101" s="76" t="s">
        <v>9</v>
      </c>
      <c r="P101" s="77"/>
      <c r="Q101" s="69">
        <v>229.51759999999999</v>
      </c>
      <c r="R101" s="70"/>
      <c r="S101" s="71" t="s">
        <v>11</v>
      </c>
      <c r="T101" s="72"/>
      <c r="U101" s="15"/>
      <c r="V101" s="16"/>
      <c r="Y101" s="65">
        <v>10000</v>
      </c>
      <c r="Z101" s="66"/>
      <c r="AA101" s="76" t="s">
        <v>9</v>
      </c>
      <c r="AB101" s="77"/>
      <c r="AC101" s="69">
        <v>785.39970000000005</v>
      </c>
      <c r="AD101" s="70"/>
      <c r="AE101" s="71" t="s">
        <v>11</v>
      </c>
      <c r="AF101" s="72"/>
      <c r="AG101" s="15"/>
      <c r="AH101" s="16"/>
    </row>
    <row r="102" spans="1:34" ht="15" thickTop="1" x14ac:dyDescent="0.3"/>
  </sheetData>
  <mergeCells count="1540">
    <mergeCell ref="Y97:Z97"/>
    <mergeCell ref="AA97:AB97"/>
    <mergeCell ref="AC97:AD97"/>
    <mergeCell ref="AE97:AF97"/>
    <mergeCell ref="AG97:AH101"/>
    <mergeCell ref="Y98:Z98"/>
    <mergeCell ref="AA98:AB98"/>
    <mergeCell ref="AC98:AD98"/>
    <mergeCell ref="AE98:AF98"/>
    <mergeCell ref="Y99:Z99"/>
    <mergeCell ref="AA99:AB99"/>
    <mergeCell ref="AC99:AD99"/>
    <mergeCell ref="AE99:AF99"/>
    <mergeCell ref="Y100:Z100"/>
    <mergeCell ref="AA100:AB100"/>
    <mergeCell ref="AC100:AD100"/>
    <mergeCell ref="AE100:AF100"/>
    <mergeCell ref="Y101:Z101"/>
    <mergeCell ref="AA101:AB101"/>
    <mergeCell ref="AC101:AD101"/>
    <mergeCell ref="AE101:AF101"/>
    <mergeCell ref="Y92:Z92"/>
    <mergeCell ref="AA92:AB92"/>
    <mergeCell ref="AC92:AD92"/>
    <mergeCell ref="AE92:AF92"/>
    <mergeCell ref="AG92:AH96"/>
    <mergeCell ref="Y93:Z93"/>
    <mergeCell ref="AA93:AB93"/>
    <mergeCell ref="AC93:AD93"/>
    <mergeCell ref="AE93:AF93"/>
    <mergeCell ref="Y94:Z94"/>
    <mergeCell ref="AA94:AB94"/>
    <mergeCell ref="AC94:AD94"/>
    <mergeCell ref="AE94:AF94"/>
    <mergeCell ref="Y95:Z95"/>
    <mergeCell ref="AA95:AB95"/>
    <mergeCell ref="AC95:AD95"/>
    <mergeCell ref="AE95:AF95"/>
    <mergeCell ref="Y96:Z96"/>
    <mergeCell ref="AA96:AB96"/>
    <mergeCell ref="AC96:AD96"/>
    <mergeCell ref="AE96:AF96"/>
    <mergeCell ref="Y87:Z87"/>
    <mergeCell ref="AA87:AB87"/>
    <mergeCell ref="AC87:AD87"/>
    <mergeCell ref="AE87:AF87"/>
    <mergeCell ref="AG87:AH91"/>
    <mergeCell ref="Y88:Z88"/>
    <mergeCell ref="AA88:AB88"/>
    <mergeCell ref="AC88:AD88"/>
    <mergeCell ref="AE88:AF88"/>
    <mergeCell ref="Y89:Z89"/>
    <mergeCell ref="AA89:AB89"/>
    <mergeCell ref="AC89:AD89"/>
    <mergeCell ref="AE89:AF89"/>
    <mergeCell ref="Y90:Z90"/>
    <mergeCell ref="AA90:AB90"/>
    <mergeCell ref="AC90:AD90"/>
    <mergeCell ref="AE90:AF90"/>
    <mergeCell ref="Y91:Z91"/>
    <mergeCell ref="AA91:AB91"/>
    <mergeCell ref="AC91:AD91"/>
    <mergeCell ref="AE91:AF91"/>
    <mergeCell ref="Y82:Z82"/>
    <mergeCell ref="AA82:AB82"/>
    <mergeCell ref="AC82:AD82"/>
    <mergeCell ref="AE82:AF82"/>
    <mergeCell ref="AG82:AH86"/>
    <mergeCell ref="Y83:Z83"/>
    <mergeCell ref="AA83:AB83"/>
    <mergeCell ref="AC83:AD83"/>
    <mergeCell ref="AE83:AF83"/>
    <mergeCell ref="Y84:Z84"/>
    <mergeCell ref="AA84:AB84"/>
    <mergeCell ref="AC84:AD84"/>
    <mergeCell ref="AE84:AF84"/>
    <mergeCell ref="Y85:Z85"/>
    <mergeCell ref="AA85:AB85"/>
    <mergeCell ref="AC85:AD85"/>
    <mergeCell ref="AE85:AF85"/>
    <mergeCell ref="Y86:Z86"/>
    <mergeCell ref="AA86:AB86"/>
    <mergeCell ref="AC86:AD86"/>
    <mergeCell ref="AE86:AF86"/>
    <mergeCell ref="Y77:Z77"/>
    <mergeCell ref="AA77:AB77"/>
    <mergeCell ref="AC77:AD77"/>
    <mergeCell ref="AE77:AF77"/>
    <mergeCell ref="AG77:AH81"/>
    <mergeCell ref="Y78:Z78"/>
    <mergeCell ref="AA78:AB78"/>
    <mergeCell ref="AC78:AD78"/>
    <mergeCell ref="AE78:AF78"/>
    <mergeCell ref="Y79:Z79"/>
    <mergeCell ref="AA79:AB79"/>
    <mergeCell ref="AC79:AD79"/>
    <mergeCell ref="AE79:AF79"/>
    <mergeCell ref="Y80:Z80"/>
    <mergeCell ref="AA80:AB80"/>
    <mergeCell ref="AC80:AD80"/>
    <mergeCell ref="AE80:AF80"/>
    <mergeCell ref="Y81:Z81"/>
    <mergeCell ref="AA81:AB81"/>
    <mergeCell ref="AC81:AD81"/>
    <mergeCell ref="AE81:AF81"/>
    <mergeCell ref="Y72:Z72"/>
    <mergeCell ref="AA72:AB72"/>
    <mergeCell ref="AC72:AD72"/>
    <mergeCell ref="AE72:AF72"/>
    <mergeCell ref="AG72:AH76"/>
    <mergeCell ref="Y73:Z73"/>
    <mergeCell ref="AA73:AB73"/>
    <mergeCell ref="AC73:AD73"/>
    <mergeCell ref="AE73:AF73"/>
    <mergeCell ref="Y74:Z74"/>
    <mergeCell ref="AA74:AB74"/>
    <mergeCell ref="AC74:AD74"/>
    <mergeCell ref="AE74:AF74"/>
    <mergeCell ref="Y75:Z75"/>
    <mergeCell ref="AA75:AB75"/>
    <mergeCell ref="AC75:AD75"/>
    <mergeCell ref="AE75:AF75"/>
    <mergeCell ref="Y76:Z76"/>
    <mergeCell ref="AA76:AB76"/>
    <mergeCell ref="AC76:AD76"/>
    <mergeCell ref="AE76:AF76"/>
    <mergeCell ref="Y67:Z67"/>
    <mergeCell ref="AA67:AB67"/>
    <mergeCell ref="AC67:AD67"/>
    <mergeCell ref="AE67:AF67"/>
    <mergeCell ref="AG67:AH71"/>
    <mergeCell ref="Y68:Z68"/>
    <mergeCell ref="AA68:AB68"/>
    <mergeCell ref="AC68:AD68"/>
    <mergeCell ref="AE68:AF68"/>
    <mergeCell ref="Y69:Z69"/>
    <mergeCell ref="AA69:AB69"/>
    <mergeCell ref="AC69:AD69"/>
    <mergeCell ref="AE69:AF69"/>
    <mergeCell ref="Y70:Z70"/>
    <mergeCell ref="AA70:AB70"/>
    <mergeCell ref="AC70:AD70"/>
    <mergeCell ref="AE70:AF70"/>
    <mergeCell ref="Y71:Z71"/>
    <mergeCell ref="AA71:AB71"/>
    <mergeCell ref="AC71:AD71"/>
    <mergeCell ref="AE71:AF71"/>
    <mergeCell ref="Y62:Z62"/>
    <mergeCell ref="AA62:AB62"/>
    <mergeCell ref="AC62:AD62"/>
    <mergeCell ref="AE62:AF62"/>
    <mergeCell ref="AG62:AH66"/>
    <mergeCell ref="Y63:Z63"/>
    <mergeCell ref="AA63:AB63"/>
    <mergeCell ref="AC63:AD63"/>
    <mergeCell ref="AE63:AF63"/>
    <mergeCell ref="Y64:Z64"/>
    <mergeCell ref="AA64:AB64"/>
    <mergeCell ref="AC64:AD64"/>
    <mergeCell ref="AE64:AF64"/>
    <mergeCell ref="Y65:Z65"/>
    <mergeCell ref="AA65:AB65"/>
    <mergeCell ref="AC65:AD65"/>
    <mergeCell ref="AE65:AF65"/>
    <mergeCell ref="Y66:Z66"/>
    <mergeCell ref="AA66:AB66"/>
    <mergeCell ref="AC66:AD66"/>
    <mergeCell ref="AE66:AF66"/>
    <mergeCell ref="Y57:Z57"/>
    <mergeCell ref="AA57:AB57"/>
    <mergeCell ref="AC57:AD57"/>
    <mergeCell ref="AE57:AF57"/>
    <mergeCell ref="AG57:AH61"/>
    <mergeCell ref="Y58:Z58"/>
    <mergeCell ref="AA58:AB58"/>
    <mergeCell ref="AC58:AD58"/>
    <mergeCell ref="AE58:AF58"/>
    <mergeCell ref="Y59:Z59"/>
    <mergeCell ref="AA59:AB59"/>
    <mergeCell ref="AC59:AD59"/>
    <mergeCell ref="AE59:AF59"/>
    <mergeCell ref="Y60:Z60"/>
    <mergeCell ref="AA60:AB60"/>
    <mergeCell ref="AC60:AD60"/>
    <mergeCell ref="AE60:AF60"/>
    <mergeCell ref="Y61:Z61"/>
    <mergeCell ref="AA61:AB61"/>
    <mergeCell ref="AC61:AD61"/>
    <mergeCell ref="AE61:AF61"/>
    <mergeCell ref="Y52:Z52"/>
    <mergeCell ref="AA52:AB52"/>
    <mergeCell ref="AC52:AD52"/>
    <mergeCell ref="AE52:AF52"/>
    <mergeCell ref="AG52:AH56"/>
    <mergeCell ref="Y53:Z53"/>
    <mergeCell ref="AA53:AB53"/>
    <mergeCell ref="AC53:AD53"/>
    <mergeCell ref="AE53:AF53"/>
    <mergeCell ref="Y54:Z54"/>
    <mergeCell ref="AA54:AB54"/>
    <mergeCell ref="AC54:AD54"/>
    <mergeCell ref="AE54:AF54"/>
    <mergeCell ref="Y55:Z55"/>
    <mergeCell ref="AA55:AB55"/>
    <mergeCell ref="AC55:AD55"/>
    <mergeCell ref="AE55:AF55"/>
    <mergeCell ref="Y56:Z56"/>
    <mergeCell ref="AA56:AB56"/>
    <mergeCell ref="AC56:AD56"/>
    <mergeCell ref="AE56:AF56"/>
    <mergeCell ref="Y47:Z47"/>
    <mergeCell ref="AA47:AB47"/>
    <mergeCell ref="AC47:AD47"/>
    <mergeCell ref="AE47:AF47"/>
    <mergeCell ref="AG47:AH51"/>
    <mergeCell ref="Y48:Z48"/>
    <mergeCell ref="AA48:AB48"/>
    <mergeCell ref="AC48:AD48"/>
    <mergeCell ref="AE48:AF48"/>
    <mergeCell ref="Y49:Z49"/>
    <mergeCell ref="AA49:AB49"/>
    <mergeCell ref="AC49:AD49"/>
    <mergeCell ref="AE49:AF49"/>
    <mergeCell ref="Y50:Z50"/>
    <mergeCell ref="AA50:AB50"/>
    <mergeCell ref="AC50:AD50"/>
    <mergeCell ref="AE50:AF50"/>
    <mergeCell ref="Y51:Z51"/>
    <mergeCell ref="AA51:AB51"/>
    <mergeCell ref="AC51:AD51"/>
    <mergeCell ref="AE51:AF51"/>
    <mergeCell ref="Y42:Z42"/>
    <mergeCell ref="AA42:AB42"/>
    <mergeCell ref="AC42:AD42"/>
    <mergeCell ref="AE42:AF42"/>
    <mergeCell ref="AG42:AH46"/>
    <mergeCell ref="Y43:Z43"/>
    <mergeCell ref="AA43:AB43"/>
    <mergeCell ref="AC43:AD43"/>
    <mergeCell ref="AE43:AF43"/>
    <mergeCell ref="Y44:Z44"/>
    <mergeCell ref="AA44:AB44"/>
    <mergeCell ref="AC44:AD44"/>
    <mergeCell ref="AE44:AF44"/>
    <mergeCell ref="Y45:Z45"/>
    <mergeCell ref="AA45:AB45"/>
    <mergeCell ref="AC45:AD45"/>
    <mergeCell ref="AE45:AF45"/>
    <mergeCell ref="Y46:Z46"/>
    <mergeCell ref="AA46:AB46"/>
    <mergeCell ref="AC46:AD46"/>
    <mergeCell ref="AE46:AF46"/>
    <mergeCell ref="Y37:Z37"/>
    <mergeCell ref="AA37:AB37"/>
    <mergeCell ref="AC37:AD37"/>
    <mergeCell ref="AE37:AF37"/>
    <mergeCell ref="AG37:AH41"/>
    <mergeCell ref="Y38:Z38"/>
    <mergeCell ref="AA38:AB38"/>
    <mergeCell ref="AC38:AD38"/>
    <mergeCell ref="AE38:AF38"/>
    <mergeCell ref="Y39:Z39"/>
    <mergeCell ref="AA39:AB39"/>
    <mergeCell ref="AC39:AD39"/>
    <mergeCell ref="AE39:AF39"/>
    <mergeCell ref="Y40:Z40"/>
    <mergeCell ref="AA40:AB40"/>
    <mergeCell ref="AC40:AD40"/>
    <mergeCell ref="AE40:AF40"/>
    <mergeCell ref="Y41:Z41"/>
    <mergeCell ref="AA41:AB41"/>
    <mergeCell ref="AC41:AD41"/>
    <mergeCell ref="AE41:AF41"/>
    <mergeCell ref="Y32:Z32"/>
    <mergeCell ref="AA32:AB32"/>
    <mergeCell ref="AC32:AD32"/>
    <mergeCell ref="AE32:AF32"/>
    <mergeCell ref="AG32:AH36"/>
    <mergeCell ref="Y33:Z33"/>
    <mergeCell ref="AA33:AB33"/>
    <mergeCell ref="AC33:AD33"/>
    <mergeCell ref="AE33:AF33"/>
    <mergeCell ref="Y34:Z34"/>
    <mergeCell ref="AA34:AB34"/>
    <mergeCell ref="AC34:AD34"/>
    <mergeCell ref="AE34:AF34"/>
    <mergeCell ref="Y35:Z35"/>
    <mergeCell ref="AA35:AB35"/>
    <mergeCell ref="AC35:AD35"/>
    <mergeCell ref="AE35:AF35"/>
    <mergeCell ref="Y36:Z36"/>
    <mergeCell ref="AA36:AB36"/>
    <mergeCell ref="AC36:AD36"/>
    <mergeCell ref="AE36:AF36"/>
    <mergeCell ref="Y27:Z27"/>
    <mergeCell ref="AA27:AB27"/>
    <mergeCell ref="AC27:AD27"/>
    <mergeCell ref="AE27:AF27"/>
    <mergeCell ref="AG27:AH31"/>
    <mergeCell ref="Y28:Z28"/>
    <mergeCell ref="AA28:AB28"/>
    <mergeCell ref="AC28:AD28"/>
    <mergeCell ref="AE28:AF28"/>
    <mergeCell ref="Y29:Z29"/>
    <mergeCell ref="AA29:AB29"/>
    <mergeCell ref="AC29:AD29"/>
    <mergeCell ref="AE29:AF29"/>
    <mergeCell ref="Y30:Z30"/>
    <mergeCell ref="AA30:AB30"/>
    <mergeCell ref="AC30:AD30"/>
    <mergeCell ref="AE30:AF30"/>
    <mergeCell ref="Y31:Z31"/>
    <mergeCell ref="AA31:AB31"/>
    <mergeCell ref="AC31:AD31"/>
    <mergeCell ref="AE31:AF31"/>
    <mergeCell ref="Y22:Z22"/>
    <mergeCell ref="AA22:AB22"/>
    <mergeCell ref="AC22:AD22"/>
    <mergeCell ref="AE22:AF22"/>
    <mergeCell ref="AG22:AH26"/>
    <mergeCell ref="Y23:Z23"/>
    <mergeCell ref="AA23:AB23"/>
    <mergeCell ref="AC23:AD23"/>
    <mergeCell ref="AE23:AF23"/>
    <mergeCell ref="Y24:Z24"/>
    <mergeCell ref="AA24:AB24"/>
    <mergeCell ref="AC24:AD24"/>
    <mergeCell ref="AE24:AF24"/>
    <mergeCell ref="Y25:Z25"/>
    <mergeCell ref="AA25:AB25"/>
    <mergeCell ref="AC25:AD25"/>
    <mergeCell ref="AE25:AF25"/>
    <mergeCell ref="Y26:Z26"/>
    <mergeCell ref="AA26:AB26"/>
    <mergeCell ref="AC26:AD26"/>
    <mergeCell ref="AE26:AF26"/>
    <mergeCell ref="Y17:Z17"/>
    <mergeCell ref="AA17:AB17"/>
    <mergeCell ref="AC17:AD17"/>
    <mergeCell ref="AE17:AF17"/>
    <mergeCell ref="AG17:AH21"/>
    <mergeCell ref="Y18:Z18"/>
    <mergeCell ref="AA18:AB18"/>
    <mergeCell ref="AC18:AD18"/>
    <mergeCell ref="AE18:AF18"/>
    <mergeCell ref="Y19:Z19"/>
    <mergeCell ref="AA19:AB19"/>
    <mergeCell ref="AC19:AD19"/>
    <mergeCell ref="AE19:AF19"/>
    <mergeCell ref="Y20:Z20"/>
    <mergeCell ref="AA20:AB20"/>
    <mergeCell ref="AC20:AD20"/>
    <mergeCell ref="AE20:AF20"/>
    <mergeCell ref="Y21:Z21"/>
    <mergeCell ref="AA21:AB21"/>
    <mergeCell ref="AC21:AD21"/>
    <mergeCell ref="AE21:AF21"/>
    <mergeCell ref="Y12:Z12"/>
    <mergeCell ref="AA12:AB12"/>
    <mergeCell ref="AC12:AD12"/>
    <mergeCell ref="AE12:AF12"/>
    <mergeCell ref="AG12:AH16"/>
    <mergeCell ref="Y13:Z13"/>
    <mergeCell ref="AA13:AB13"/>
    <mergeCell ref="AC13:AD13"/>
    <mergeCell ref="AE13:AF13"/>
    <mergeCell ref="Y14:Z14"/>
    <mergeCell ref="AA14:AB14"/>
    <mergeCell ref="AC14:AD14"/>
    <mergeCell ref="AE14:AF14"/>
    <mergeCell ref="Y15:Z15"/>
    <mergeCell ref="AA15:AB15"/>
    <mergeCell ref="AC15:AD15"/>
    <mergeCell ref="AE15:AF15"/>
    <mergeCell ref="Y16:Z16"/>
    <mergeCell ref="AA16:AB16"/>
    <mergeCell ref="AC16:AD16"/>
    <mergeCell ref="AE16:AF16"/>
    <mergeCell ref="Y7:Z7"/>
    <mergeCell ref="AA7:AB7"/>
    <mergeCell ref="AC7:AD7"/>
    <mergeCell ref="AE7:AF7"/>
    <mergeCell ref="AG7:AH11"/>
    <mergeCell ref="Y8:Z8"/>
    <mergeCell ref="AA8:AB8"/>
    <mergeCell ref="AC8:AD8"/>
    <mergeCell ref="AE8:AF8"/>
    <mergeCell ref="Y9:Z9"/>
    <mergeCell ref="AA9:AB9"/>
    <mergeCell ref="AC9:AD9"/>
    <mergeCell ref="AE9:AF9"/>
    <mergeCell ref="Y10:Z10"/>
    <mergeCell ref="AA10:AB10"/>
    <mergeCell ref="AC10:AD10"/>
    <mergeCell ref="AE10:AF10"/>
    <mergeCell ref="Y11:Z11"/>
    <mergeCell ref="AA11:AB11"/>
    <mergeCell ref="AC11:AD11"/>
    <mergeCell ref="AE11:AF11"/>
    <mergeCell ref="Y1:Z1"/>
    <mergeCell ref="AA1:AB1"/>
    <mergeCell ref="AC1:AD1"/>
    <mergeCell ref="AE1:AF1"/>
    <mergeCell ref="AG1:AH1"/>
    <mergeCell ref="Y2:Z2"/>
    <mergeCell ref="AA2:AB2"/>
    <mergeCell ref="AC2:AD2"/>
    <mergeCell ref="AE2:AF2"/>
    <mergeCell ref="AG2:AH6"/>
    <mergeCell ref="Y3:Z3"/>
    <mergeCell ref="AA3:AB3"/>
    <mergeCell ref="AC3:AD3"/>
    <mergeCell ref="AE3:AF3"/>
    <mergeCell ref="Y4:Z4"/>
    <mergeCell ref="AA4:AB4"/>
    <mergeCell ref="AC4:AD4"/>
    <mergeCell ref="AE4:AF4"/>
    <mergeCell ref="Y5:Z5"/>
    <mergeCell ref="AA5:AB5"/>
    <mergeCell ref="AC5:AD5"/>
    <mergeCell ref="AE5:AF5"/>
    <mergeCell ref="Y6:Z6"/>
    <mergeCell ref="AA6:AB6"/>
    <mergeCell ref="AC6:AD6"/>
    <mergeCell ref="AE6:AF6"/>
    <mergeCell ref="M1:N1"/>
    <mergeCell ref="O1:P1"/>
    <mergeCell ref="Q1:R1"/>
    <mergeCell ref="S1:T1"/>
    <mergeCell ref="U1:V1"/>
    <mergeCell ref="M97:N97"/>
    <mergeCell ref="O97:P97"/>
    <mergeCell ref="Q97:R97"/>
    <mergeCell ref="S97:T97"/>
    <mergeCell ref="U97:V101"/>
    <mergeCell ref="M98:N98"/>
    <mergeCell ref="O98:P98"/>
    <mergeCell ref="Q98:R98"/>
    <mergeCell ref="S98:T98"/>
    <mergeCell ref="M99:N99"/>
    <mergeCell ref="O99:P99"/>
    <mergeCell ref="Q99:R99"/>
    <mergeCell ref="S99:T99"/>
    <mergeCell ref="M100:N100"/>
    <mergeCell ref="O100:P100"/>
    <mergeCell ref="Q100:R100"/>
    <mergeCell ref="S100:T100"/>
    <mergeCell ref="M101:N101"/>
    <mergeCell ref="O101:P101"/>
    <mergeCell ref="Q101:R101"/>
    <mergeCell ref="S101:T101"/>
    <mergeCell ref="M92:N92"/>
    <mergeCell ref="O92:P92"/>
    <mergeCell ref="Q92:R92"/>
    <mergeCell ref="S92:T92"/>
    <mergeCell ref="U92:V96"/>
    <mergeCell ref="M93:N93"/>
    <mergeCell ref="O93:P93"/>
    <mergeCell ref="Q93:R93"/>
    <mergeCell ref="S93:T93"/>
    <mergeCell ref="M94:N94"/>
    <mergeCell ref="O94:P94"/>
    <mergeCell ref="Q94:R94"/>
    <mergeCell ref="S94:T94"/>
    <mergeCell ref="M95:N95"/>
    <mergeCell ref="O95:P95"/>
    <mergeCell ref="Q95:R95"/>
    <mergeCell ref="S95:T95"/>
    <mergeCell ref="M96:N96"/>
    <mergeCell ref="O96:P96"/>
    <mergeCell ref="Q96:R96"/>
    <mergeCell ref="S96:T96"/>
    <mergeCell ref="M87:N87"/>
    <mergeCell ref="O87:P87"/>
    <mergeCell ref="Q87:R87"/>
    <mergeCell ref="S87:T87"/>
    <mergeCell ref="U87:V91"/>
    <mergeCell ref="M88:N88"/>
    <mergeCell ref="O88:P88"/>
    <mergeCell ref="Q88:R88"/>
    <mergeCell ref="S88:T88"/>
    <mergeCell ref="M89:N89"/>
    <mergeCell ref="O89:P89"/>
    <mergeCell ref="Q89:R89"/>
    <mergeCell ref="S89:T89"/>
    <mergeCell ref="M90:N90"/>
    <mergeCell ref="O90:P90"/>
    <mergeCell ref="Q90:R90"/>
    <mergeCell ref="S90:T90"/>
    <mergeCell ref="M91:N91"/>
    <mergeCell ref="O91:P91"/>
    <mergeCell ref="Q91:R91"/>
    <mergeCell ref="S91:T91"/>
    <mergeCell ref="M82:N82"/>
    <mergeCell ref="O82:P82"/>
    <mergeCell ref="Q82:R82"/>
    <mergeCell ref="S82:T82"/>
    <mergeCell ref="U82:V86"/>
    <mergeCell ref="M83:N83"/>
    <mergeCell ref="O83:P83"/>
    <mergeCell ref="Q83:R83"/>
    <mergeCell ref="S83:T83"/>
    <mergeCell ref="M84:N84"/>
    <mergeCell ref="O84:P84"/>
    <mergeCell ref="Q84:R84"/>
    <mergeCell ref="S84:T84"/>
    <mergeCell ref="M85:N85"/>
    <mergeCell ref="O85:P85"/>
    <mergeCell ref="Q85:R85"/>
    <mergeCell ref="S85:T85"/>
    <mergeCell ref="M86:N86"/>
    <mergeCell ref="O86:P86"/>
    <mergeCell ref="Q86:R86"/>
    <mergeCell ref="S86:T86"/>
    <mergeCell ref="A97:B97"/>
    <mergeCell ref="C97:D97"/>
    <mergeCell ref="E97:F97"/>
    <mergeCell ref="G97:H97"/>
    <mergeCell ref="I97:J101"/>
    <mergeCell ref="A98:B98"/>
    <mergeCell ref="C98:D98"/>
    <mergeCell ref="E98:F98"/>
    <mergeCell ref="G98:H98"/>
    <mergeCell ref="A99:B99"/>
    <mergeCell ref="C99:D99"/>
    <mergeCell ref="E99:F99"/>
    <mergeCell ref="G99:H99"/>
    <mergeCell ref="A100:B100"/>
    <mergeCell ref="C100:D100"/>
    <mergeCell ref="E100:F100"/>
    <mergeCell ref="G100:H100"/>
    <mergeCell ref="A101:B101"/>
    <mergeCell ref="C101:D101"/>
    <mergeCell ref="E101:F101"/>
    <mergeCell ref="G101:H101"/>
    <mergeCell ref="A92:B92"/>
    <mergeCell ref="C92:D92"/>
    <mergeCell ref="E92:F92"/>
    <mergeCell ref="G92:H92"/>
    <mergeCell ref="I92:J96"/>
    <mergeCell ref="A93:B93"/>
    <mergeCell ref="C93:D93"/>
    <mergeCell ref="E93:F93"/>
    <mergeCell ref="G93:H93"/>
    <mergeCell ref="A94:B94"/>
    <mergeCell ref="C94:D94"/>
    <mergeCell ref="E94:F94"/>
    <mergeCell ref="G94:H94"/>
    <mergeCell ref="A95:B95"/>
    <mergeCell ref="C95:D95"/>
    <mergeCell ref="E95:F95"/>
    <mergeCell ref="G95:H95"/>
    <mergeCell ref="A96:B96"/>
    <mergeCell ref="C96:D96"/>
    <mergeCell ref="E96:F96"/>
    <mergeCell ref="G96:H96"/>
    <mergeCell ref="A87:B87"/>
    <mergeCell ref="C87:D87"/>
    <mergeCell ref="E87:F87"/>
    <mergeCell ref="G87:H87"/>
    <mergeCell ref="I87:J91"/>
    <mergeCell ref="A88:B88"/>
    <mergeCell ref="C88:D88"/>
    <mergeCell ref="E88:F88"/>
    <mergeCell ref="G88:H88"/>
    <mergeCell ref="A89:B89"/>
    <mergeCell ref="C89:D89"/>
    <mergeCell ref="E89:F89"/>
    <mergeCell ref="G89:H89"/>
    <mergeCell ref="A90:B90"/>
    <mergeCell ref="C90:D90"/>
    <mergeCell ref="E90:F90"/>
    <mergeCell ref="G90:H90"/>
    <mergeCell ref="A91:B91"/>
    <mergeCell ref="C91:D91"/>
    <mergeCell ref="E91:F91"/>
    <mergeCell ref="G91:H91"/>
    <mergeCell ref="A82:B82"/>
    <mergeCell ref="C82:D82"/>
    <mergeCell ref="E82:F82"/>
    <mergeCell ref="G82:H82"/>
    <mergeCell ref="I82:J86"/>
    <mergeCell ref="A83:B83"/>
    <mergeCell ref="C83:D83"/>
    <mergeCell ref="E83:F83"/>
    <mergeCell ref="G83:H83"/>
    <mergeCell ref="A84:B84"/>
    <mergeCell ref="C84:D84"/>
    <mergeCell ref="E84:F84"/>
    <mergeCell ref="G84:H84"/>
    <mergeCell ref="A85:B85"/>
    <mergeCell ref="C85:D85"/>
    <mergeCell ref="E85:F85"/>
    <mergeCell ref="G85:H85"/>
    <mergeCell ref="A86:B86"/>
    <mergeCell ref="C86:D86"/>
    <mergeCell ref="E86:F86"/>
    <mergeCell ref="G86:H86"/>
    <mergeCell ref="M77:N77"/>
    <mergeCell ref="O77:P77"/>
    <mergeCell ref="Q77:R77"/>
    <mergeCell ref="S77:T77"/>
    <mergeCell ref="U77:V81"/>
    <mergeCell ref="M78:N78"/>
    <mergeCell ref="O78:P78"/>
    <mergeCell ref="Q78:R78"/>
    <mergeCell ref="S78:T78"/>
    <mergeCell ref="M79:N79"/>
    <mergeCell ref="O79:P79"/>
    <mergeCell ref="Q79:R79"/>
    <mergeCell ref="S79:T79"/>
    <mergeCell ref="M80:N80"/>
    <mergeCell ref="O80:P80"/>
    <mergeCell ref="Q80:R80"/>
    <mergeCell ref="S80:T80"/>
    <mergeCell ref="M81:N81"/>
    <mergeCell ref="O81:P81"/>
    <mergeCell ref="Q81:R81"/>
    <mergeCell ref="S81:T81"/>
    <mergeCell ref="M72:N72"/>
    <mergeCell ref="O72:P72"/>
    <mergeCell ref="Q72:R72"/>
    <mergeCell ref="S72:T72"/>
    <mergeCell ref="U72:V76"/>
    <mergeCell ref="M73:N73"/>
    <mergeCell ref="O73:P73"/>
    <mergeCell ref="Q73:R73"/>
    <mergeCell ref="S73:T73"/>
    <mergeCell ref="M74:N74"/>
    <mergeCell ref="O74:P74"/>
    <mergeCell ref="Q74:R74"/>
    <mergeCell ref="S74:T74"/>
    <mergeCell ref="M75:N75"/>
    <mergeCell ref="O75:P75"/>
    <mergeCell ref="Q75:R75"/>
    <mergeCell ref="S75:T75"/>
    <mergeCell ref="M76:N76"/>
    <mergeCell ref="O76:P76"/>
    <mergeCell ref="Q76:R76"/>
    <mergeCell ref="S76:T76"/>
    <mergeCell ref="M67:N67"/>
    <mergeCell ref="O67:P67"/>
    <mergeCell ref="Q67:R67"/>
    <mergeCell ref="S67:T67"/>
    <mergeCell ref="U67:V71"/>
    <mergeCell ref="M68:N68"/>
    <mergeCell ref="O68:P68"/>
    <mergeCell ref="Q68:R68"/>
    <mergeCell ref="S68:T68"/>
    <mergeCell ref="M69:N69"/>
    <mergeCell ref="O69:P69"/>
    <mergeCell ref="Q69:R69"/>
    <mergeCell ref="S69:T69"/>
    <mergeCell ref="M70:N70"/>
    <mergeCell ref="O70:P70"/>
    <mergeCell ref="Q70:R70"/>
    <mergeCell ref="S70:T70"/>
    <mergeCell ref="M71:N71"/>
    <mergeCell ref="O71:P71"/>
    <mergeCell ref="Q71:R71"/>
    <mergeCell ref="S71:T71"/>
    <mergeCell ref="M62:N62"/>
    <mergeCell ref="O62:P62"/>
    <mergeCell ref="Q62:R62"/>
    <mergeCell ref="S62:T62"/>
    <mergeCell ref="U62:V66"/>
    <mergeCell ref="M63:N63"/>
    <mergeCell ref="O63:P63"/>
    <mergeCell ref="Q63:R63"/>
    <mergeCell ref="S63:T63"/>
    <mergeCell ref="M64:N64"/>
    <mergeCell ref="O64:P64"/>
    <mergeCell ref="Q64:R64"/>
    <mergeCell ref="S64:T64"/>
    <mergeCell ref="M65:N65"/>
    <mergeCell ref="O65:P65"/>
    <mergeCell ref="Q65:R65"/>
    <mergeCell ref="S65:T65"/>
    <mergeCell ref="M66:N66"/>
    <mergeCell ref="O66:P66"/>
    <mergeCell ref="Q66:R66"/>
    <mergeCell ref="S66:T66"/>
    <mergeCell ref="M57:N57"/>
    <mergeCell ref="O57:P57"/>
    <mergeCell ref="Q57:R57"/>
    <mergeCell ref="S57:T57"/>
    <mergeCell ref="U57:V61"/>
    <mergeCell ref="M58:N58"/>
    <mergeCell ref="O58:P58"/>
    <mergeCell ref="Q58:R58"/>
    <mergeCell ref="S58:T58"/>
    <mergeCell ref="M59:N59"/>
    <mergeCell ref="O59:P59"/>
    <mergeCell ref="Q59:R59"/>
    <mergeCell ref="S59:T59"/>
    <mergeCell ref="M60:N60"/>
    <mergeCell ref="O60:P60"/>
    <mergeCell ref="Q60:R60"/>
    <mergeCell ref="S60:T60"/>
    <mergeCell ref="M61:N61"/>
    <mergeCell ref="O61:P61"/>
    <mergeCell ref="Q61:R61"/>
    <mergeCell ref="S61:T61"/>
    <mergeCell ref="M52:N52"/>
    <mergeCell ref="O52:P52"/>
    <mergeCell ref="Q52:R52"/>
    <mergeCell ref="S52:T52"/>
    <mergeCell ref="U52:V56"/>
    <mergeCell ref="M53:N53"/>
    <mergeCell ref="O53:P53"/>
    <mergeCell ref="Q53:R53"/>
    <mergeCell ref="S53:T53"/>
    <mergeCell ref="M54:N54"/>
    <mergeCell ref="O54:P54"/>
    <mergeCell ref="Q54:R54"/>
    <mergeCell ref="S54:T54"/>
    <mergeCell ref="M55:N55"/>
    <mergeCell ref="O55:P55"/>
    <mergeCell ref="Q55:R55"/>
    <mergeCell ref="S55:T55"/>
    <mergeCell ref="M56:N56"/>
    <mergeCell ref="O56:P56"/>
    <mergeCell ref="Q56:R56"/>
    <mergeCell ref="S56:T56"/>
    <mergeCell ref="M47:N47"/>
    <mergeCell ref="O47:P47"/>
    <mergeCell ref="Q47:R47"/>
    <mergeCell ref="S47:T47"/>
    <mergeCell ref="U47:V51"/>
    <mergeCell ref="M48:N48"/>
    <mergeCell ref="O48:P48"/>
    <mergeCell ref="Q48:R48"/>
    <mergeCell ref="S48:T48"/>
    <mergeCell ref="M49:N49"/>
    <mergeCell ref="O49:P49"/>
    <mergeCell ref="Q49:R49"/>
    <mergeCell ref="S49:T49"/>
    <mergeCell ref="M50:N50"/>
    <mergeCell ref="O50:P50"/>
    <mergeCell ref="Q50:R50"/>
    <mergeCell ref="S50:T50"/>
    <mergeCell ref="M51:N51"/>
    <mergeCell ref="O51:P51"/>
    <mergeCell ref="Q51:R51"/>
    <mergeCell ref="S51:T51"/>
    <mergeCell ref="M42:N42"/>
    <mergeCell ref="O42:P42"/>
    <mergeCell ref="Q42:R42"/>
    <mergeCell ref="S42:T42"/>
    <mergeCell ref="U42:V46"/>
    <mergeCell ref="M43:N43"/>
    <mergeCell ref="O43:P43"/>
    <mergeCell ref="Q43:R43"/>
    <mergeCell ref="S43:T43"/>
    <mergeCell ref="M44:N44"/>
    <mergeCell ref="O44:P44"/>
    <mergeCell ref="Q44:R44"/>
    <mergeCell ref="S44:T44"/>
    <mergeCell ref="M45:N45"/>
    <mergeCell ref="O45:P45"/>
    <mergeCell ref="Q45:R45"/>
    <mergeCell ref="S45:T45"/>
    <mergeCell ref="M46:N46"/>
    <mergeCell ref="O46:P46"/>
    <mergeCell ref="Q46:R46"/>
    <mergeCell ref="S46:T46"/>
    <mergeCell ref="M37:N37"/>
    <mergeCell ref="O37:P37"/>
    <mergeCell ref="Q37:R37"/>
    <mergeCell ref="S37:T37"/>
    <mergeCell ref="U37:V41"/>
    <mergeCell ref="M38:N38"/>
    <mergeCell ref="O38:P38"/>
    <mergeCell ref="Q38:R38"/>
    <mergeCell ref="S38:T38"/>
    <mergeCell ref="M39:N39"/>
    <mergeCell ref="O39:P39"/>
    <mergeCell ref="Q39:R39"/>
    <mergeCell ref="S39:T39"/>
    <mergeCell ref="M40:N40"/>
    <mergeCell ref="O40:P40"/>
    <mergeCell ref="Q40:R40"/>
    <mergeCell ref="S40:T40"/>
    <mergeCell ref="M41:N41"/>
    <mergeCell ref="O41:P41"/>
    <mergeCell ref="Q41:R41"/>
    <mergeCell ref="S41:T41"/>
    <mergeCell ref="M32:N32"/>
    <mergeCell ref="O32:P32"/>
    <mergeCell ref="Q32:R32"/>
    <mergeCell ref="S32:T32"/>
    <mergeCell ref="U32:V36"/>
    <mergeCell ref="M33:N33"/>
    <mergeCell ref="O33:P33"/>
    <mergeCell ref="Q33:R33"/>
    <mergeCell ref="S33:T33"/>
    <mergeCell ref="M34:N34"/>
    <mergeCell ref="O34:P34"/>
    <mergeCell ref="Q34:R34"/>
    <mergeCell ref="S34:T34"/>
    <mergeCell ref="M35:N35"/>
    <mergeCell ref="O35:P35"/>
    <mergeCell ref="Q35:R35"/>
    <mergeCell ref="S35:T35"/>
    <mergeCell ref="M36:N36"/>
    <mergeCell ref="O36:P36"/>
    <mergeCell ref="Q36:R36"/>
    <mergeCell ref="S36:T36"/>
    <mergeCell ref="M27:N27"/>
    <mergeCell ref="O27:P27"/>
    <mergeCell ref="Q27:R27"/>
    <mergeCell ref="S27:T27"/>
    <mergeCell ref="U27:V31"/>
    <mergeCell ref="M28:N28"/>
    <mergeCell ref="O28:P28"/>
    <mergeCell ref="Q28:R28"/>
    <mergeCell ref="S28:T28"/>
    <mergeCell ref="M29:N29"/>
    <mergeCell ref="O29:P29"/>
    <mergeCell ref="Q29:R29"/>
    <mergeCell ref="S29:T29"/>
    <mergeCell ref="M30:N30"/>
    <mergeCell ref="O30:P30"/>
    <mergeCell ref="Q30:R30"/>
    <mergeCell ref="S30:T30"/>
    <mergeCell ref="M31:N31"/>
    <mergeCell ref="O31:P31"/>
    <mergeCell ref="Q31:R31"/>
    <mergeCell ref="S31:T31"/>
    <mergeCell ref="M22:N22"/>
    <mergeCell ref="O22:P22"/>
    <mergeCell ref="Q22:R22"/>
    <mergeCell ref="S22:T22"/>
    <mergeCell ref="U22:V26"/>
    <mergeCell ref="M23:N23"/>
    <mergeCell ref="O23:P23"/>
    <mergeCell ref="Q23:R23"/>
    <mergeCell ref="S23:T23"/>
    <mergeCell ref="M24:N24"/>
    <mergeCell ref="O24:P24"/>
    <mergeCell ref="Q24:R24"/>
    <mergeCell ref="S24:T24"/>
    <mergeCell ref="M25:N25"/>
    <mergeCell ref="O25:P25"/>
    <mergeCell ref="Q25:R25"/>
    <mergeCell ref="S25:T25"/>
    <mergeCell ref="M26:N26"/>
    <mergeCell ref="O26:P26"/>
    <mergeCell ref="Q26:R26"/>
    <mergeCell ref="S26:T26"/>
    <mergeCell ref="M17:N17"/>
    <mergeCell ref="O17:P17"/>
    <mergeCell ref="Q17:R17"/>
    <mergeCell ref="S17:T17"/>
    <mergeCell ref="U17:V21"/>
    <mergeCell ref="M18:N18"/>
    <mergeCell ref="O18:P18"/>
    <mergeCell ref="Q18:R18"/>
    <mergeCell ref="S18:T18"/>
    <mergeCell ref="M19:N19"/>
    <mergeCell ref="O19:P19"/>
    <mergeCell ref="Q19:R19"/>
    <mergeCell ref="S19:T19"/>
    <mergeCell ref="M20:N20"/>
    <mergeCell ref="O20:P20"/>
    <mergeCell ref="Q20:R20"/>
    <mergeCell ref="S20:T20"/>
    <mergeCell ref="M21:N21"/>
    <mergeCell ref="O21:P21"/>
    <mergeCell ref="Q21:R21"/>
    <mergeCell ref="S21:T21"/>
    <mergeCell ref="M12:N12"/>
    <mergeCell ref="O12:P12"/>
    <mergeCell ref="Q12:R12"/>
    <mergeCell ref="S12:T12"/>
    <mergeCell ref="U12:V16"/>
    <mergeCell ref="M13:N13"/>
    <mergeCell ref="O13:P13"/>
    <mergeCell ref="Q13:R13"/>
    <mergeCell ref="S13:T13"/>
    <mergeCell ref="M14:N14"/>
    <mergeCell ref="O14:P14"/>
    <mergeCell ref="Q14:R14"/>
    <mergeCell ref="S14:T14"/>
    <mergeCell ref="M15:N15"/>
    <mergeCell ref="O15:P15"/>
    <mergeCell ref="Q15:R15"/>
    <mergeCell ref="S15:T15"/>
    <mergeCell ref="M16:N16"/>
    <mergeCell ref="O16:P16"/>
    <mergeCell ref="Q16:R16"/>
    <mergeCell ref="S16:T16"/>
    <mergeCell ref="M7:N7"/>
    <mergeCell ref="O7:P7"/>
    <mergeCell ref="Q7:R7"/>
    <mergeCell ref="S7:T7"/>
    <mergeCell ref="U7:V11"/>
    <mergeCell ref="M8:N8"/>
    <mergeCell ref="O8:P8"/>
    <mergeCell ref="Q8:R8"/>
    <mergeCell ref="S8:T8"/>
    <mergeCell ref="M9:N9"/>
    <mergeCell ref="O9:P9"/>
    <mergeCell ref="Q9:R9"/>
    <mergeCell ref="S9:T9"/>
    <mergeCell ref="M10:N10"/>
    <mergeCell ref="O10:P10"/>
    <mergeCell ref="Q10:R10"/>
    <mergeCell ref="S10:T10"/>
    <mergeCell ref="M11:N11"/>
    <mergeCell ref="O11:P11"/>
    <mergeCell ref="Q11:R11"/>
    <mergeCell ref="S11:T11"/>
    <mergeCell ref="O3:P3"/>
    <mergeCell ref="M2:N2"/>
    <mergeCell ref="O2:P2"/>
    <mergeCell ref="Q2:R2"/>
    <mergeCell ref="S2:T2"/>
    <mergeCell ref="U2:V6"/>
    <mergeCell ref="M3:N3"/>
    <mergeCell ref="Q3:R3"/>
    <mergeCell ref="S3:T3"/>
    <mergeCell ref="M4:N4"/>
    <mergeCell ref="O4:P4"/>
    <mergeCell ref="Q4:R4"/>
    <mergeCell ref="S4:T4"/>
    <mergeCell ref="M5:N5"/>
    <mergeCell ref="O5:P5"/>
    <mergeCell ref="Q5:R5"/>
    <mergeCell ref="S5:T5"/>
    <mergeCell ref="M6:N6"/>
    <mergeCell ref="O6:P6"/>
    <mergeCell ref="Q6:R6"/>
    <mergeCell ref="S6:T6"/>
    <mergeCell ref="A77:B77"/>
    <mergeCell ref="C77:D77"/>
    <mergeCell ref="E77:F77"/>
    <mergeCell ref="G77:H77"/>
    <mergeCell ref="I77:J81"/>
    <mergeCell ref="A78:B78"/>
    <mergeCell ref="C78:D78"/>
    <mergeCell ref="E78:F78"/>
    <mergeCell ref="G78:H78"/>
    <mergeCell ref="A79:B79"/>
    <mergeCell ref="C79:D79"/>
    <mergeCell ref="E79:F79"/>
    <mergeCell ref="G79:H79"/>
    <mergeCell ref="A80:B80"/>
    <mergeCell ref="C80:D80"/>
    <mergeCell ref="E80:F80"/>
    <mergeCell ref="G80:H80"/>
    <mergeCell ref="A81:B81"/>
    <mergeCell ref="C81:D81"/>
    <mergeCell ref="E81:F81"/>
    <mergeCell ref="G81:H81"/>
    <mergeCell ref="A72:B72"/>
    <mergeCell ref="C72:D72"/>
    <mergeCell ref="E72:F72"/>
    <mergeCell ref="G72:H72"/>
    <mergeCell ref="I72:J76"/>
    <mergeCell ref="A73:B73"/>
    <mergeCell ref="C73:D73"/>
    <mergeCell ref="E73:F73"/>
    <mergeCell ref="G73:H73"/>
    <mergeCell ref="A74:B74"/>
    <mergeCell ref="C74:D74"/>
    <mergeCell ref="E74:F74"/>
    <mergeCell ref="G74:H74"/>
    <mergeCell ref="A75:B75"/>
    <mergeCell ref="C75:D75"/>
    <mergeCell ref="E75:F75"/>
    <mergeCell ref="G75:H75"/>
    <mergeCell ref="A76:B76"/>
    <mergeCell ref="C76:D76"/>
    <mergeCell ref="E76:F76"/>
    <mergeCell ref="G76:H76"/>
    <mergeCell ref="G25:H25"/>
    <mergeCell ref="A26:B26"/>
    <mergeCell ref="C26:D26"/>
    <mergeCell ref="E26:F26"/>
    <mergeCell ref="G26:H26"/>
    <mergeCell ref="A22:B22"/>
    <mergeCell ref="A23:B23"/>
    <mergeCell ref="C23:D23"/>
    <mergeCell ref="A67:B67"/>
    <mergeCell ref="C67:D67"/>
    <mergeCell ref="E67:F67"/>
    <mergeCell ref="G67:H67"/>
    <mergeCell ref="I67:J71"/>
    <mergeCell ref="A68:B68"/>
    <mergeCell ref="C68:D68"/>
    <mergeCell ref="E68:F68"/>
    <mergeCell ref="G68:H68"/>
    <mergeCell ref="A69:B69"/>
    <mergeCell ref="C69:D69"/>
    <mergeCell ref="E69:F69"/>
    <mergeCell ref="G69:H69"/>
    <mergeCell ref="A70:B70"/>
    <mergeCell ref="C70:D70"/>
    <mergeCell ref="E70:F70"/>
    <mergeCell ref="G70:H70"/>
    <mergeCell ref="A71:B71"/>
    <mergeCell ref="C71:D71"/>
    <mergeCell ref="E71:F71"/>
    <mergeCell ref="G71:H71"/>
    <mergeCell ref="A62:B62"/>
    <mergeCell ref="C62:D62"/>
    <mergeCell ref="E62:F62"/>
    <mergeCell ref="G62:H62"/>
    <mergeCell ref="I62:J66"/>
    <mergeCell ref="A63:B63"/>
    <mergeCell ref="C63:D63"/>
    <mergeCell ref="E63:F63"/>
    <mergeCell ref="G63:H63"/>
    <mergeCell ref="A64:B64"/>
    <mergeCell ref="C64:D64"/>
    <mergeCell ref="E64:F64"/>
    <mergeCell ref="G64:H64"/>
    <mergeCell ref="A65:B65"/>
    <mergeCell ref="C65:D65"/>
    <mergeCell ref="E65:F65"/>
    <mergeCell ref="G65:H65"/>
    <mergeCell ref="A66:B66"/>
    <mergeCell ref="C66:D66"/>
    <mergeCell ref="E66:F66"/>
    <mergeCell ref="G66:H66"/>
    <mergeCell ref="G3:H3"/>
    <mergeCell ref="G4:H4"/>
    <mergeCell ref="G5:H5"/>
    <mergeCell ref="C13:D13"/>
    <mergeCell ref="E13:F13"/>
    <mergeCell ref="C14:D14"/>
    <mergeCell ref="E14:F14"/>
    <mergeCell ref="E5:F5"/>
    <mergeCell ref="C6:D6"/>
    <mergeCell ref="E6:F6"/>
    <mergeCell ref="C7:D7"/>
    <mergeCell ref="E7:F7"/>
    <mergeCell ref="C8:D8"/>
    <mergeCell ref="E8:F8"/>
    <mergeCell ref="A1:B1"/>
    <mergeCell ref="C1:D1"/>
    <mergeCell ref="E1:F1"/>
    <mergeCell ref="A2:B2"/>
    <mergeCell ref="A3:B3"/>
    <mergeCell ref="A4:B4"/>
    <mergeCell ref="E2:F2"/>
    <mergeCell ref="E3:F3"/>
    <mergeCell ref="E4:F4"/>
    <mergeCell ref="A11:B11"/>
    <mergeCell ref="A12:B12"/>
    <mergeCell ref="A13:B13"/>
    <mergeCell ref="A14:B14"/>
    <mergeCell ref="C2:D2"/>
    <mergeCell ref="C3:D3"/>
    <mergeCell ref="C4:D4"/>
    <mergeCell ref="E10:F10"/>
    <mergeCell ref="C11:D11"/>
    <mergeCell ref="I1:J1"/>
    <mergeCell ref="A21:B21"/>
    <mergeCell ref="C21:D21"/>
    <mergeCell ref="E21:F21"/>
    <mergeCell ref="G21:H21"/>
    <mergeCell ref="A19:B19"/>
    <mergeCell ref="C19:D19"/>
    <mergeCell ref="E19:F19"/>
    <mergeCell ref="G19:H19"/>
    <mergeCell ref="A20:B20"/>
    <mergeCell ref="C20:D20"/>
    <mergeCell ref="E20:F20"/>
    <mergeCell ref="G20:H20"/>
    <mergeCell ref="A17:B17"/>
    <mergeCell ref="C17:D17"/>
    <mergeCell ref="E17:F17"/>
    <mergeCell ref="G17:H17"/>
    <mergeCell ref="A18:B18"/>
    <mergeCell ref="C18:D18"/>
    <mergeCell ref="E18:F18"/>
    <mergeCell ref="G18:H18"/>
    <mergeCell ref="G12:H12"/>
    <mergeCell ref="G13:H13"/>
    <mergeCell ref="G14:H14"/>
    <mergeCell ref="C12:D12"/>
    <mergeCell ref="E12:F12"/>
    <mergeCell ref="I2:J6"/>
    <mergeCell ref="I7:J11"/>
    <mergeCell ref="I12:J16"/>
    <mergeCell ref="I17:J21"/>
    <mergeCell ref="G1:H1"/>
    <mergeCell ref="G2:H2"/>
    <mergeCell ref="E23:F23"/>
    <mergeCell ref="G23:H23"/>
    <mergeCell ref="G15:H15"/>
    <mergeCell ref="A16:B16"/>
    <mergeCell ref="C16:D16"/>
    <mergeCell ref="E16:F16"/>
    <mergeCell ref="G16:H16"/>
    <mergeCell ref="G6:H6"/>
    <mergeCell ref="G7:H7"/>
    <mergeCell ref="G8:H8"/>
    <mergeCell ref="G9:H9"/>
    <mergeCell ref="G10:H10"/>
    <mergeCell ref="G11:H11"/>
    <mergeCell ref="A15:B15"/>
    <mergeCell ref="C5:D5"/>
    <mergeCell ref="C9:D9"/>
    <mergeCell ref="A5:B5"/>
    <mergeCell ref="A6:B6"/>
    <mergeCell ref="A7:B7"/>
    <mergeCell ref="A8:B8"/>
    <mergeCell ref="A9:B9"/>
    <mergeCell ref="A10:B10"/>
    <mergeCell ref="C15:D15"/>
    <mergeCell ref="E15:F15"/>
    <mergeCell ref="E9:F9"/>
    <mergeCell ref="C10:D10"/>
    <mergeCell ref="C22:D22"/>
    <mergeCell ref="E22:F22"/>
    <mergeCell ref="G22:H22"/>
    <mergeCell ref="E11:F11"/>
    <mergeCell ref="E28:F28"/>
    <mergeCell ref="G28:H28"/>
    <mergeCell ref="A29:B29"/>
    <mergeCell ref="A31:B31"/>
    <mergeCell ref="C31:D31"/>
    <mergeCell ref="E31:F31"/>
    <mergeCell ref="G31:H31"/>
    <mergeCell ref="C29:D29"/>
    <mergeCell ref="E29:F29"/>
    <mergeCell ref="G29:H29"/>
    <mergeCell ref="A30:B30"/>
    <mergeCell ref="C30:D30"/>
    <mergeCell ref="E30:F30"/>
    <mergeCell ref="G30:H30"/>
    <mergeCell ref="A27:B27"/>
    <mergeCell ref="C27:D27"/>
    <mergeCell ref="E27:F27"/>
    <mergeCell ref="G27:H27"/>
    <mergeCell ref="I22:J26"/>
    <mergeCell ref="A24:B24"/>
    <mergeCell ref="C24:D24"/>
    <mergeCell ref="E24:F24"/>
    <mergeCell ref="G24:H24"/>
    <mergeCell ref="A25:B25"/>
    <mergeCell ref="C25:D25"/>
    <mergeCell ref="E25:F25"/>
    <mergeCell ref="C35:D35"/>
    <mergeCell ref="E35:F35"/>
    <mergeCell ref="G35:H35"/>
    <mergeCell ref="A36:B36"/>
    <mergeCell ref="C36:D36"/>
    <mergeCell ref="E36:F36"/>
    <mergeCell ref="G36:H36"/>
    <mergeCell ref="I32:J36"/>
    <mergeCell ref="A33:B33"/>
    <mergeCell ref="C33:D33"/>
    <mergeCell ref="E33:F33"/>
    <mergeCell ref="G33:H33"/>
    <mergeCell ref="A34:B34"/>
    <mergeCell ref="C34:D34"/>
    <mergeCell ref="E34:F34"/>
    <mergeCell ref="G34:H34"/>
    <mergeCell ref="A35:B35"/>
    <mergeCell ref="A32:B32"/>
    <mergeCell ref="C32:D32"/>
    <mergeCell ref="E32:F32"/>
    <mergeCell ref="G32:H32"/>
    <mergeCell ref="I27:J31"/>
    <mergeCell ref="A28:B28"/>
    <mergeCell ref="C28:D28"/>
    <mergeCell ref="A37:B37"/>
    <mergeCell ref="C37:D37"/>
    <mergeCell ref="E37:F37"/>
    <mergeCell ref="G37:H37"/>
    <mergeCell ref="I37:J41"/>
    <mergeCell ref="A38:B38"/>
    <mergeCell ref="C38:D38"/>
    <mergeCell ref="E38:F38"/>
    <mergeCell ref="G38:H38"/>
    <mergeCell ref="A39:B39"/>
    <mergeCell ref="A41:B41"/>
    <mergeCell ref="C41:D41"/>
    <mergeCell ref="E41:F41"/>
    <mergeCell ref="G41:H41"/>
    <mergeCell ref="A42:B42"/>
    <mergeCell ref="C42:D42"/>
    <mergeCell ref="E42:F42"/>
    <mergeCell ref="G42:H42"/>
    <mergeCell ref="C39:D39"/>
    <mergeCell ref="E39:F39"/>
    <mergeCell ref="G39:H39"/>
    <mergeCell ref="A40:B40"/>
    <mergeCell ref="C40:D40"/>
    <mergeCell ref="E40:F40"/>
    <mergeCell ref="G40:H40"/>
    <mergeCell ref="I47:J51"/>
    <mergeCell ref="A48:B48"/>
    <mergeCell ref="C48:D48"/>
    <mergeCell ref="G48:H48"/>
    <mergeCell ref="A49:B49"/>
    <mergeCell ref="C45:D45"/>
    <mergeCell ref="E45:F45"/>
    <mergeCell ref="G45:H45"/>
    <mergeCell ref="A46:B46"/>
    <mergeCell ref="C46:D46"/>
    <mergeCell ref="E46:F46"/>
    <mergeCell ref="G46:H46"/>
    <mergeCell ref="I42:J46"/>
    <mergeCell ref="A43:B43"/>
    <mergeCell ref="C43:D43"/>
    <mergeCell ref="E43:F43"/>
    <mergeCell ref="G43:H43"/>
    <mergeCell ref="A44:B44"/>
    <mergeCell ref="C44:D44"/>
    <mergeCell ref="E44:F44"/>
    <mergeCell ref="G44:H44"/>
    <mergeCell ref="A45:B45"/>
    <mergeCell ref="E48:F48"/>
    <mergeCell ref="G49:H49"/>
    <mergeCell ref="E49:F49"/>
    <mergeCell ref="C49:D49"/>
    <mergeCell ref="A50:B50"/>
    <mergeCell ref="C50:D50"/>
    <mergeCell ref="E50:F50"/>
    <mergeCell ref="G50:H50"/>
    <mergeCell ref="A47:B47"/>
    <mergeCell ref="C47:D47"/>
    <mergeCell ref="G54:H54"/>
    <mergeCell ref="A55:B55"/>
    <mergeCell ref="A52:B52"/>
    <mergeCell ref="I57:J61"/>
    <mergeCell ref="A58:B58"/>
    <mergeCell ref="C58:D58"/>
    <mergeCell ref="E58:F58"/>
    <mergeCell ref="G58:H58"/>
    <mergeCell ref="A59:B59"/>
    <mergeCell ref="C55:D55"/>
    <mergeCell ref="E55:F55"/>
    <mergeCell ref="G55:H55"/>
    <mergeCell ref="A56:B56"/>
    <mergeCell ref="C56:D56"/>
    <mergeCell ref="E56:F56"/>
    <mergeCell ref="G56:H56"/>
    <mergeCell ref="I52:J56"/>
    <mergeCell ref="A53:B53"/>
    <mergeCell ref="C53:D53"/>
    <mergeCell ref="A61:B61"/>
    <mergeCell ref="C61:D61"/>
    <mergeCell ref="E61:F61"/>
    <mergeCell ref="G61:H61"/>
    <mergeCell ref="C59:D59"/>
    <mergeCell ref="E59:F59"/>
    <mergeCell ref="G59:H59"/>
    <mergeCell ref="A60:B60"/>
    <mergeCell ref="AK1:AL1"/>
    <mergeCell ref="AM1:AN1"/>
    <mergeCell ref="AO1:AP1"/>
    <mergeCell ref="AQ1:AR1"/>
    <mergeCell ref="AS1:AT5"/>
    <mergeCell ref="AK2:AL2"/>
    <mergeCell ref="AM2:AN2"/>
    <mergeCell ref="AO2:AP2"/>
    <mergeCell ref="AQ2:AR2"/>
    <mergeCell ref="AK3:AL3"/>
    <mergeCell ref="AM3:AN3"/>
    <mergeCell ref="E47:F47"/>
    <mergeCell ref="G47:H47"/>
    <mergeCell ref="C60:D60"/>
    <mergeCell ref="E60:F60"/>
    <mergeCell ref="G60:H60"/>
    <mergeCell ref="A57:B57"/>
    <mergeCell ref="C57:D57"/>
    <mergeCell ref="E57:F57"/>
    <mergeCell ref="G57:H57"/>
    <mergeCell ref="A51:B51"/>
    <mergeCell ref="C51:D51"/>
    <mergeCell ref="E51:F51"/>
    <mergeCell ref="G51:H51"/>
    <mergeCell ref="C52:D52"/>
    <mergeCell ref="E52:F52"/>
    <mergeCell ref="G52:H52"/>
    <mergeCell ref="E53:F53"/>
    <mergeCell ref="G53:H53"/>
    <mergeCell ref="A54:B54"/>
    <mergeCell ref="C54:D54"/>
    <mergeCell ref="E54:F54"/>
    <mergeCell ref="AO3:AP3"/>
    <mergeCell ref="AQ3:AR3"/>
    <mergeCell ref="AK4:AL4"/>
    <mergeCell ref="AM4:AN4"/>
    <mergeCell ref="AO4:AP4"/>
    <mergeCell ref="AQ4:AR4"/>
    <mergeCell ref="AK5:AL5"/>
    <mergeCell ref="AM5:AN5"/>
    <mergeCell ref="AO5:AP5"/>
    <mergeCell ref="AQ5:AR5"/>
    <mergeCell ref="AK6:AL6"/>
    <mergeCell ref="AM6:AN6"/>
    <mergeCell ref="AO6:AP6"/>
    <mergeCell ref="AQ6:AR6"/>
    <mergeCell ref="AS6:AT10"/>
    <mergeCell ref="AK7:AL7"/>
    <mergeCell ref="AM7:AN7"/>
    <mergeCell ref="AO7:AP7"/>
    <mergeCell ref="AQ7:AR7"/>
    <mergeCell ref="AK8:AL8"/>
    <mergeCell ref="AM8:AN8"/>
    <mergeCell ref="AO8:AP8"/>
    <mergeCell ref="AQ8:AR8"/>
    <mergeCell ref="AK9:AL9"/>
    <mergeCell ref="AM9:AN9"/>
    <mergeCell ref="AO9:AP9"/>
    <mergeCell ref="AQ9:AR9"/>
    <mergeCell ref="AK10:AL10"/>
    <mergeCell ref="AM10:AN10"/>
    <mergeCell ref="AO10:AP10"/>
    <mergeCell ref="AQ10:AR10"/>
    <mergeCell ref="AK11:AL11"/>
    <mergeCell ref="AM11:AN11"/>
    <mergeCell ref="AO11:AP11"/>
    <mergeCell ref="AQ11:AR11"/>
    <mergeCell ref="AS11:AT15"/>
    <mergeCell ref="AK12:AL12"/>
    <mergeCell ref="AM12:AN12"/>
    <mergeCell ref="AO12:AP12"/>
    <mergeCell ref="AQ12:AR12"/>
    <mergeCell ref="AK13:AL13"/>
    <mergeCell ref="AM13:AN13"/>
    <mergeCell ref="AO13:AP13"/>
    <mergeCell ref="AQ13:AR13"/>
    <mergeCell ref="AK14:AL14"/>
    <mergeCell ref="AM14:AN14"/>
    <mergeCell ref="AO14:AP14"/>
    <mergeCell ref="AQ14:AR14"/>
    <mergeCell ref="AK15:AL15"/>
    <mergeCell ref="AM15:AN15"/>
    <mergeCell ref="AO15:AP15"/>
    <mergeCell ref="AQ15:AR15"/>
    <mergeCell ref="AK16:AL16"/>
    <mergeCell ref="AM16:AN16"/>
    <mergeCell ref="AO16:AP16"/>
    <mergeCell ref="AQ16:AR16"/>
    <mergeCell ref="AS16:AT20"/>
    <mergeCell ref="AK17:AL17"/>
    <mergeCell ref="AM17:AN17"/>
    <mergeCell ref="AO17:AP17"/>
    <mergeCell ref="AQ17:AR17"/>
    <mergeCell ref="AK18:AL18"/>
    <mergeCell ref="AM18:AN18"/>
    <mergeCell ref="AO18:AP18"/>
    <mergeCell ref="AQ18:AR18"/>
    <mergeCell ref="AK19:AL19"/>
    <mergeCell ref="AM19:AN19"/>
    <mergeCell ref="AO19:AP19"/>
    <mergeCell ref="AQ19:AR19"/>
    <mergeCell ref="AK20:AL20"/>
    <mergeCell ref="AM20:AN20"/>
    <mergeCell ref="AO20:AP20"/>
    <mergeCell ref="AQ20:AR20"/>
    <mergeCell ref="AK21:AL21"/>
    <mergeCell ref="AM21:AN21"/>
    <mergeCell ref="AO21:AP21"/>
    <mergeCell ref="AQ21:AR21"/>
    <mergeCell ref="AS21:AT25"/>
    <mergeCell ref="AK22:AL22"/>
    <mergeCell ref="AM22:AN22"/>
    <mergeCell ref="AO22:AP22"/>
    <mergeCell ref="AQ22:AR22"/>
    <mergeCell ref="AK23:AL23"/>
    <mergeCell ref="AM23:AN23"/>
    <mergeCell ref="AO23:AP23"/>
    <mergeCell ref="AQ23:AR23"/>
    <mergeCell ref="AK24:AL24"/>
    <mergeCell ref="AM24:AN24"/>
    <mergeCell ref="AO24:AP24"/>
    <mergeCell ref="AQ24:AR24"/>
    <mergeCell ref="AK25:AL25"/>
    <mergeCell ref="AM25:AN25"/>
    <mergeCell ref="AO25:AP25"/>
    <mergeCell ref="AQ25:AR25"/>
    <mergeCell ref="AK26:AL26"/>
    <mergeCell ref="AM26:AN26"/>
    <mergeCell ref="AO26:AP26"/>
    <mergeCell ref="AQ26:AR26"/>
    <mergeCell ref="AS26:AT30"/>
    <mergeCell ref="AK27:AL27"/>
    <mergeCell ref="AM27:AN27"/>
    <mergeCell ref="AO27:AP27"/>
    <mergeCell ref="AQ27:AR27"/>
    <mergeCell ref="AK28:AL28"/>
    <mergeCell ref="AM28:AN28"/>
    <mergeCell ref="AO28:AP28"/>
    <mergeCell ref="AQ28:AR28"/>
    <mergeCell ref="AK29:AL29"/>
    <mergeCell ref="AM29:AN29"/>
    <mergeCell ref="AO29:AP29"/>
    <mergeCell ref="AQ29:AR29"/>
    <mergeCell ref="AK30:AL30"/>
    <mergeCell ref="AM30:AN30"/>
    <mergeCell ref="AO30:AP30"/>
    <mergeCell ref="AQ30:AR30"/>
    <mergeCell ref="AK31:AL31"/>
    <mergeCell ref="AM31:AN31"/>
    <mergeCell ref="AO31:AP31"/>
    <mergeCell ref="AQ31:AR31"/>
    <mergeCell ref="AS31:AT35"/>
    <mergeCell ref="AK32:AL32"/>
    <mergeCell ref="AM32:AN32"/>
    <mergeCell ref="AO32:AP32"/>
    <mergeCell ref="AQ32:AR32"/>
    <mergeCell ref="AK33:AL33"/>
    <mergeCell ref="AM33:AN33"/>
    <mergeCell ref="AO33:AP33"/>
    <mergeCell ref="AQ33:AR33"/>
    <mergeCell ref="AK34:AL34"/>
    <mergeCell ref="AM34:AN34"/>
    <mergeCell ref="AO34:AP34"/>
    <mergeCell ref="AQ34:AR34"/>
    <mergeCell ref="AK35:AL35"/>
    <mergeCell ref="AM35:AN35"/>
    <mergeCell ref="AO35:AP35"/>
    <mergeCell ref="AQ35:AR35"/>
    <mergeCell ref="AU1:AU5"/>
    <mergeCell ref="AU6:AU10"/>
    <mergeCell ref="AU11:AU15"/>
    <mergeCell ref="AU16:AU20"/>
    <mergeCell ref="AU21:AU25"/>
    <mergeCell ref="AU26:AU30"/>
    <mergeCell ref="AU31:AU35"/>
    <mergeCell ref="AS36:AT36"/>
    <mergeCell ref="AW1:AX1"/>
    <mergeCell ref="AY1:AZ1"/>
    <mergeCell ref="BA1:BB1"/>
    <mergeCell ref="BC1:BD1"/>
    <mergeCell ref="BE1:BF1"/>
    <mergeCell ref="AW2:AX2"/>
    <mergeCell ref="AY2:AZ2"/>
    <mergeCell ref="BA2:BB2"/>
    <mergeCell ref="BC2:BD2"/>
    <mergeCell ref="AW3:AX3"/>
    <mergeCell ref="AY3:AZ3"/>
    <mergeCell ref="BA3:BB3"/>
    <mergeCell ref="BC3:BD3"/>
    <mergeCell ref="AW4:AX4"/>
    <mergeCell ref="AY4:AZ4"/>
    <mergeCell ref="BA4:BB4"/>
    <mergeCell ref="BC4:BD4"/>
    <mergeCell ref="AW5:AX5"/>
    <mergeCell ref="AY5:AZ5"/>
    <mergeCell ref="BA5:BB5"/>
    <mergeCell ref="BC5:BD5"/>
    <mergeCell ref="AW6:AX6"/>
    <mergeCell ref="AY6:AZ6"/>
    <mergeCell ref="BA6:BB6"/>
    <mergeCell ref="BC6:BD6"/>
    <mergeCell ref="AW7:AX7"/>
    <mergeCell ref="AY7:AZ7"/>
    <mergeCell ref="BA7:BB7"/>
    <mergeCell ref="BC7:BD7"/>
    <mergeCell ref="AW8:AX8"/>
    <mergeCell ref="AY8:AZ8"/>
    <mergeCell ref="BA8:BB8"/>
    <mergeCell ref="BC8:BD8"/>
    <mergeCell ref="AW9:AX9"/>
    <mergeCell ref="AY9:AZ9"/>
    <mergeCell ref="BA9:BB9"/>
    <mergeCell ref="BC9:BD9"/>
    <mergeCell ref="AW10:AX10"/>
    <mergeCell ref="AY10:AZ10"/>
    <mergeCell ref="BA10:BB10"/>
    <mergeCell ref="BC10:BD10"/>
    <mergeCell ref="AW11:AX11"/>
    <mergeCell ref="AY11:AZ11"/>
    <mergeCell ref="BA11:BB11"/>
    <mergeCell ref="BC11:BD11"/>
    <mergeCell ref="AW13:AX13"/>
    <mergeCell ref="AY13:AZ13"/>
    <mergeCell ref="BA13:BB13"/>
    <mergeCell ref="BC13:BD13"/>
    <mergeCell ref="AW14:AX14"/>
    <mergeCell ref="AY14:AZ14"/>
    <mergeCell ref="BA14:BB14"/>
    <mergeCell ref="BC14:BD14"/>
    <mergeCell ref="AW15:AX15"/>
    <mergeCell ref="AY15:AZ15"/>
    <mergeCell ref="BA15:BB15"/>
    <mergeCell ref="BC15:BD15"/>
    <mergeCell ref="AW16:AX16"/>
    <mergeCell ref="AY16:AZ16"/>
    <mergeCell ref="BA16:BB16"/>
    <mergeCell ref="BC16:BD16"/>
    <mergeCell ref="AW18:AX18"/>
    <mergeCell ref="AY18:AZ18"/>
    <mergeCell ref="BA18:BB18"/>
    <mergeCell ref="BC18:BD18"/>
    <mergeCell ref="AW19:AX19"/>
    <mergeCell ref="AY19:AZ19"/>
    <mergeCell ref="BA19:BB19"/>
    <mergeCell ref="BC19:BD19"/>
    <mergeCell ref="AW20:AX20"/>
    <mergeCell ref="AY20:AZ20"/>
    <mergeCell ref="BA20:BB20"/>
    <mergeCell ref="BC20:BD20"/>
    <mergeCell ref="AW21:AX21"/>
    <mergeCell ref="AY21:AZ21"/>
    <mergeCell ref="BA21:BB21"/>
    <mergeCell ref="BC21:BD21"/>
    <mergeCell ref="AW12:AX12"/>
    <mergeCell ref="AY12:AZ12"/>
    <mergeCell ref="BA12:BB12"/>
    <mergeCell ref="BC12:BD12"/>
    <mergeCell ref="BG2:BG6"/>
    <mergeCell ref="BG7:BG11"/>
    <mergeCell ref="BG12:BG16"/>
    <mergeCell ref="BG17:BG21"/>
    <mergeCell ref="BG22:BG26"/>
    <mergeCell ref="AW22:AX22"/>
    <mergeCell ref="AY22:AZ22"/>
    <mergeCell ref="BA22:BB22"/>
    <mergeCell ref="BC22:BD22"/>
    <mergeCell ref="AW23:AX23"/>
    <mergeCell ref="AY23:AZ23"/>
    <mergeCell ref="BA23:BB23"/>
    <mergeCell ref="BC23:BD23"/>
    <mergeCell ref="AW24:AX24"/>
    <mergeCell ref="AY24:AZ24"/>
    <mergeCell ref="BA24:BB24"/>
    <mergeCell ref="BC24:BD24"/>
    <mergeCell ref="AW25:AX25"/>
    <mergeCell ref="AY25:AZ25"/>
    <mergeCell ref="BA25:BB25"/>
    <mergeCell ref="BC25:BD25"/>
    <mergeCell ref="AW26:AX26"/>
    <mergeCell ref="AY26:AZ26"/>
    <mergeCell ref="BA26:BB26"/>
    <mergeCell ref="BC26:BD26"/>
    <mergeCell ref="AW17:AX17"/>
    <mergeCell ref="AY17:AZ17"/>
    <mergeCell ref="BA17:BB17"/>
    <mergeCell ref="BC17:BD17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Macro1</vt:lpstr>
      <vt:lpstr>Munka1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leventerastovits@gmail.com</dc:creator>
  <cp:keywords/>
  <dc:description/>
  <cp:lastModifiedBy>leventerastovits@gmail.com</cp:lastModifiedBy>
  <cp:revision/>
  <dcterms:created xsi:type="dcterms:W3CDTF">2025-11-17T18:20:37Z</dcterms:created>
  <dcterms:modified xsi:type="dcterms:W3CDTF">2025-12-11T08:04:47Z</dcterms:modified>
  <cp:category/>
  <cp:contentStatus/>
</cp:coreProperties>
</file>